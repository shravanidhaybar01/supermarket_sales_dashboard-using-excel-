
<file path=[Content_Types].xml><?xml version="1.0" encoding="utf-8"?>
<Types xmlns="http://schemas.openxmlformats.org/package/2006/content-type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mc:AlternateContent xmlns:mc="http://schemas.openxmlformats.org/markup-compatibility/2006">
    <mc:Choice Requires="x15">
      <x15ac:absPath xmlns:x15ac="http://schemas.microsoft.com/office/spreadsheetml/2010/11/ac" url="C:\Users\Server\AppData\Local\Packages\5319275A.WhatsAppDesktop_cv1g1gvanyjgm\LocalState\sessions\743E44898FCAD4905FBCF8A2574013A805167141\transfers\2026-29\"/>
    </mc:Choice>
  </mc:AlternateContent>
  <xr:revisionPtr revIDLastSave="0" documentId="13_ncr:1_{0BAAFC52-7C16-4BFF-BDAE-EB7506D1A923}" xr6:coauthVersionLast="47" xr6:coauthVersionMax="47" xr10:uidLastSave="{00000000-0000-0000-0000-000000000000}"/>
  <bookViews>
    <workbookView xWindow="-120" yWindow="-120" windowWidth="20730" windowHeight="11040" activeTab="1" xr2:uid="{13F4AE79-2971-4DD1-83EB-84B9C5A6F743}"/>
  </bookViews>
  <sheets>
    <sheet name="DATA" sheetId="3" r:id="rId1"/>
    <sheet name="DASHBOARD" sheetId="4" r:id="rId2"/>
    <sheet name="SuperMarket Sales" sheetId="2" r:id="rId3"/>
  </sheets>
  <definedNames>
    <definedName name="Slicer_Customer_Name">#N/A</definedName>
    <definedName name="Slicer_Month">#N/A</definedName>
    <definedName name="Slicer_Order_Dat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6" i="4" l="1"/>
  <c r="AM22" i="3"/>
  <c r="X18" i="4"/>
  <c r="X16" i="4"/>
  <c r="Y11" i="4"/>
  <c r="Y9" i="4"/>
  <c r="Y14" i="4"/>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H8" i="2"/>
  <c r="I8" i="2" s="1"/>
  <c r="H9" i="2"/>
  <c r="I9" i="2" s="1"/>
  <c r="H10" i="2"/>
  <c r="I10" i="2" s="1"/>
  <c r="H11" i="2"/>
  <c r="I11" i="2" s="1"/>
  <c r="H12" i="2"/>
  <c r="I12" i="2" s="1"/>
  <c r="H13" i="2"/>
  <c r="I13" i="2" s="1"/>
  <c r="H14" i="2"/>
  <c r="I14" i="2" s="1"/>
  <c r="H15" i="2"/>
  <c r="I15" i="2" s="1"/>
  <c r="H16" i="2"/>
  <c r="I16" i="2" s="1"/>
  <c r="H17" i="2"/>
  <c r="I17" i="2" s="1"/>
  <c r="H18" i="2"/>
  <c r="I18" i="2" s="1"/>
  <c r="H19" i="2"/>
  <c r="I19" i="2" s="1"/>
  <c r="H20" i="2"/>
  <c r="I20" i="2" s="1"/>
  <c r="H21" i="2"/>
  <c r="I21" i="2" s="1"/>
  <c r="H22" i="2"/>
  <c r="I22" i="2" s="1"/>
  <c r="H23" i="2"/>
  <c r="I23" i="2" s="1"/>
  <c r="H24" i="2"/>
  <c r="I24" i="2" s="1"/>
  <c r="H25" i="2"/>
  <c r="I25" i="2" s="1"/>
  <c r="H26" i="2"/>
  <c r="I26" i="2" s="1"/>
  <c r="H27" i="2"/>
  <c r="I27" i="2" s="1"/>
  <c r="H28" i="2"/>
  <c r="I28" i="2" s="1"/>
  <c r="H29" i="2"/>
  <c r="I29" i="2" s="1"/>
  <c r="H30" i="2"/>
  <c r="I30" i="2" s="1"/>
  <c r="H31" i="2"/>
  <c r="I31" i="2" s="1"/>
  <c r="H32" i="2"/>
  <c r="I32" i="2" s="1"/>
  <c r="H33" i="2"/>
  <c r="I33" i="2" s="1"/>
  <c r="H34" i="2"/>
  <c r="I34" i="2" s="1"/>
  <c r="H35" i="2"/>
  <c r="I35" i="2" s="1"/>
  <c r="H36" i="2"/>
  <c r="I36" i="2" s="1"/>
  <c r="H37" i="2"/>
  <c r="I37" i="2" s="1"/>
  <c r="H38" i="2"/>
  <c r="I38" i="2" s="1"/>
  <c r="H39" i="2"/>
  <c r="I39" i="2" s="1"/>
  <c r="H40" i="2"/>
  <c r="I40" i="2" s="1"/>
  <c r="H41" i="2"/>
  <c r="I41" i="2" s="1"/>
  <c r="H42" i="2"/>
  <c r="I42" i="2" s="1"/>
  <c r="H43" i="2"/>
  <c r="I43" i="2" s="1"/>
  <c r="H44" i="2"/>
  <c r="I44" i="2" s="1"/>
  <c r="H45" i="2"/>
  <c r="I45" i="2" s="1"/>
  <c r="H46" i="2"/>
  <c r="I46" i="2" s="1"/>
  <c r="H47" i="2"/>
  <c r="I47" i="2" s="1"/>
  <c r="H48" i="2"/>
  <c r="I48" i="2" s="1"/>
  <c r="H49" i="2"/>
  <c r="I49" i="2" s="1"/>
  <c r="H50" i="2"/>
  <c r="I50" i="2" s="1"/>
  <c r="H51" i="2"/>
  <c r="I51" i="2" s="1"/>
  <c r="H52" i="2"/>
  <c r="I52" i="2" s="1"/>
  <c r="H53" i="2"/>
  <c r="I53" i="2" s="1"/>
  <c r="H54" i="2"/>
  <c r="I54" i="2" s="1"/>
  <c r="H55" i="2"/>
  <c r="I55" i="2" s="1"/>
  <c r="H56" i="2"/>
  <c r="I56" i="2" s="1"/>
  <c r="H57" i="2"/>
  <c r="I57" i="2" s="1"/>
  <c r="H58" i="2"/>
  <c r="I58" i="2" s="1"/>
  <c r="H59" i="2"/>
  <c r="I59" i="2" s="1"/>
  <c r="H60" i="2"/>
  <c r="I60" i="2" s="1"/>
  <c r="H61" i="2"/>
  <c r="I61" i="2" s="1"/>
  <c r="H62" i="2"/>
  <c r="I62" i="2" s="1"/>
  <c r="H63" i="2"/>
  <c r="I63" i="2" s="1"/>
  <c r="H64" i="2"/>
  <c r="I64" i="2" s="1"/>
  <c r="H65" i="2"/>
  <c r="I65" i="2" s="1"/>
  <c r="H66" i="2"/>
  <c r="I66" i="2" s="1"/>
  <c r="H67" i="2"/>
  <c r="I67" i="2" s="1"/>
  <c r="H68" i="2"/>
  <c r="I68" i="2" s="1"/>
  <c r="H69" i="2"/>
  <c r="I69" i="2" s="1"/>
  <c r="H70" i="2"/>
  <c r="I70" i="2" s="1"/>
  <c r="H71" i="2"/>
  <c r="I71" i="2" s="1"/>
  <c r="H72" i="2"/>
  <c r="I72" i="2" s="1"/>
  <c r="H73" i="2"/>
  <c r="I73" i="2" s="1"/>
  <c r="H74" i="2"/>
  <c r="I74" i="2" s="1"/>
  <c r="H75" i="2"/>
  <c r="I75" i="2" s="1"/>
  <c r="H76" i="2"/>
  <c r="I76" i="2" s="1"/>
  <c r="H77" i="2"/>
  <c r="I77" i="2" s="1"/>
  <c r="AS11" i="3" l="1"/>
</calcChain>
</file>

<file path=xl/sharedStrings.xml><?xml version="1.0" encoding="utf-8"?>
<sst xmlns="http://schemas.openxmlformats.org/spreadsheetml/2006/main" count="413" uniqueCount="79">
  <si>
    <t>Supermarket Sales Data</t>
  </si>
  <si>
    <t>Tax</t>
  </si>
  <si>
    <t>Order No</t>
  </si>
  <si>
    <t>Order Date</t>
  </si>
  <si>
    <t>Customer Name</t>
  </si>
  <si>
    <t>Ship Date</t>
  </si>
  <si>
    <t>Retail Price (USD)</t>
  </si>
  <si>
    <t>Order Quantity</t>
  </si>
  <si>
    <t>Tax (USD)</t>
  </si>
  <si>
    <t>Total (USD)</t>
  </si>
  <si>
    <t>John Smith</t>
  </si>
  <si>
    <t>Jane Doe</t>
  </si>
  <si>
    <t>Michael Johnson</t>
  </si>
  <si>
    <t>Emily Brown</t>
  </si>
  <si>
    <t>David Wilson</t>
  </si>
  <si>
    <t>Lisa Taylor</t>
  </si>
  <si>
    <t>Daniel Martinez</t>
  </si>
  <si>
    <t>Sarah Anderson</t>
  </si>
  <si>
    <t>Christopher Thomas</t>
  </si>
  <si>
    <t>Kimberly Garcia</t>
  </si>
  <si>
    <t>William Hernandez</t>
  </si>
  <si>
    <t>Melissa Lopez</t>
  </si>
  <si>
    <t>Richard Perez</t>
  </si>
  <si>
    <t>Jessica Gonzalez</t>
  </si>
  <si>
    <t>Matthew Wilson</t>
  </si>
  <si>
    <t>Amanda Martinez</t>
  </si>
  <si>
    <t>James Johnson</t>
  </si>
  <si>
    <t>Laura Brown</t>
  </si>
  <si>
    <t>Daniel Smith</t>
  </si>
  <si>
    <t>Jennifer Davis</t>
  </si>
  <si>
    <t>Michael Garcia</t>
  </si>
  <si>
    <t>Amy Hernandez</t>
  </si>
  <si>
    <t>Christopher Rodriguez</t>
  </si>
  <si>
    <t>Jessica Martinez</t>
  </si>
  <si>
    <t>Sarah Smith</t>
  </si>
  <si>
    <t>Matthew Johnson</t>
  </si>
  <si>
    <t>Emily Davis</t>
  </si>
  <si>
    <t>Daniel Wilson</t>
  </si>
  <si>
    <t>Jennifer Martinez</t>
  </si>
  <si>
    <t>Michael Smith</t>
  </si>
  <si>
    <t>Jessica Johnson</t>
  </si>
  <si>
    <t>David Brown</t>
  </si>
  <si>
    <t>Sarah Garcia</t>
  </si>
  <si>
    <t>Matthew Hernandez</t>
  </si>
  <si>
    <t>Emily Rodriguez</t>
  </si>
  <si>
    <t>Daniel Davis</t>
  </si>
  <si>
    <t>Jennifer Smith</t>
  </si>
  <si>
    <t>Sarah Johnson</t>
  </si>
  <si>
    <t>Matthew Garcia</t>
  </si>
  <si>
    <t>Daniel Hernandez</t>
  </si>
  <si>
    <t>Michael Martinez</t>
  </si>
  <si>
    <t>Jessica Wilson</t>
  </si>
  <si>
    <t>David Rodriguez</t>
  </si>
  <si>
    <t>Sarah Gonzalez</t>
  </si>
  <si>
    <t>Matthew Smith</t>
  </si>
  <si>
    <t>Emily Johnson</t>
  </si>
  <si>
    <t>Daniel Brown</t>
  </si>
  <si>
    <t>Jennifer Hernandez</t>
  </si>
  <si>
    <t>Michael Davis</t>
  </si>
  <si>
    <t>Jessica Smith</t>
  </si>
  <si>
    <t>David Martinez</t>
  </si>
  <si>
    <t>Sales Amount</t>
  </si>
  <si>
    <t>Month</t>
  </si>
  <si>
    <t>Year</t>
  </si>
  <si>
    <t>Day</t>
  </si>
  <si>
    <t>Row Labels</t>
  </si>
  <si>
    <t>Jan</t>
  </si>
  <si>
    <t>Feb</t>
  </si>
  <si>
    <t>Grand Total</t>
  </si>
  <si>
    <t>Sum of Total (USD)</t>
  </si>
  <si>
    <t>Sum of Order Quantity</t>
  </si>
  <si>
    <t>Total Revenue</t>
  </si>
  <si>
    <t>AVG</t>
  </si>
  <si>
    <t>TOTAL ORDER</t>
  </si>
  <si>
    <t>TOTAL QUANTITY</t>
  </si>
  <si>
    <t>HIGEST VALUE</t>
  </si>
  <si>
    <t>LES</t>
  </si>
  <si>
    <t>LOWEST SALES</t>
  </si>
  <si>
    <t>TOTAL REVINUE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</si>
</sst>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Aptos Narrow"/>
      <family val="2"/>
      <scheme val="minor"/>
    </font>
    <font>
      <sz val="11"/>
      <color theme="1"/>
      <name val="Aptos Narrow"/>
      <family val="2"/>
      <scheme val="minor"/>
    </font>
    <font>
      <b/>
      <sz val="14"/>
      <color rgb="FF272760"/>
      <name val="Calibri"/>
      <family val="2"/>
    </font>
    <font>
      <sz val="11"/>
      <color theme="1"/>
      <name val="Calibri"/>
      <family val="2"/>
    </font>
    <font>
      <b/>
      <sz val="13"/>
      <color rgb="FF272760"/>
      <name val="Calibri"/>
      <family val="2"/>
    </font>
    <font>
      <b/>
      <sz val="12"/>
      <color rgb="FFFFFFFF"/>
      <name val="Calibri"/>
      <family val="2"/>
    </font>
    <font>
      <sz val="11"/>
      <color rgb="FF000000"/>
      <name val="Calibri"/>
      <family val="2"/>
    </font>
  </fonts>
  <fills count="6">
    <fill>
      <patternFill patternType="none"/>
    </fill>
    <fill>
      <patternFill patternType="gray125"/>
    </fill>
    <fill>
      <patternFill patternType="solid">
        <fgColor rgb="FFD9E1F2"/>
        <bgColor indexed="64"/>
      </patternFill>
    </fill>
    <fill>
      <patternFill patternType="solid">
        <fgColor rgb="FF272760"/>
        <bgColor indexed="64"/>
      </patternFill>
    </fill>
    <fill>
      <patternFill patternType="solid">
        <fgColor theme="5" tint="0.79998168889431442"/>
        <bgColor indexed="64"/>
      </patternFill>
    </fill>
    <fill>
      <patternFill patternType="solid">
        <fgColor theme="0"/>
        <bgColor indexed="64"/>
      </patternFill>
    </fill>
  </fills>
  <borders count="11">
    <border>
      <left/>
      <right/>
      <top/>
      <bottom/>
      <diagonal/>
    </border>
    <border>
      <left/>
      <right/>
      <top/>
      <bottom style="medium">
        <color rgb="FF272760"/>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right style="thin">
        <color rgb="FFD9D9D9"/>
      </right>
      <top style="thin">
        <color rgb="FFD9D9D9"/>
      </top>
      <bottom style="thin">
        <color rgb="FFD9D9D9"/>
      </bottom>
      <diagonal/>
    </border>
    <border>
      <left style="thin">
        <color rgb="FFD9D9D9"/>
      </left>
      <right/>
      <top/>
      <bottom/>
      <diagonal/>
    </border>
    <border>
      <left style="thin">
        <color rgb="FFD9D9D9"/>
      </left>
      <right/>
      <top style="thin">
        <color rgb="FFD9D9D9"/>
      </top>
      <bottom style="thin">
        <color rgb="FFD9D9D9"/>
      </bottom>
      <diagonal/>
    </border>
    <border>
      <left/>
      <right style="thin">
        <color rgb="FFD9D9D9"/>
      </right>
      <top style="thin">
        <color rgb="FFD9D9D9"/>
      </top>
      <bottom/>
      <diagonal/>
    </border>
    <border>
      <left style="thin">
        <color rgb="FFD9D9D9"/>
      </left>
      <right style="thin">
        <color rgb="FFD9D9D9"/>
      </right>
      <top style="thin">
        <color rgb="FFD9D9D9"/>
      </top>
      <bottom/>
      <diagonal/>
    </border>
    <border>
      <left style="thin">
        <color rgb="FFD9D9D9"/>
      </left>
      <right/>
      <top style="thin">
        <color rgb="FFD9D9D9"/>
      </top>
      <bottom/>
      <diagonal/>
    </border>
    <border>
      <left style="thin">
        <color rgb="FFD9D9D9"/>
      </left>
      <right style="thin">
        <color rgb="FFD9D9D9"/>
      </right>
      <top/>
      <bottom style="thin">
        <color rgb="FFD9D9D9"/>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0" fontId="2" fillId="2" borderId="1" xfId="0" applyFont="1" applyFill="1" applyBorder="1" applyAlignment="1">
      <alignment horizontal="centerContinuous" vertical="center"/>
    </xf>
    <xf numFmtId="0" fontId="3" fillId="0" borderId="0" xfId="0" applyFont="1"/>
    <xf numFmtId="0" fontId="4" fillId="2" borderId="1" xfId="0" applyFont="1" applyFill="1" applyBorder="1" applyAlignment="1">
      <alignment horizontal="centerContinuous" vertical="center"/>
    </xf>
    <xf numFmtId="0" fontId="5" fillId="3" borderId="2" xfId="0" applyFont="1" applyFill="1" applyBorder="1" applyAlignment="1">
      <alignment horizontal="center" vertical="center"/>
    </xf>
    <xf numFmtId="9" fontId="6" fillId="0" borderId="2" xfId="1" applyFont="1" applyBorder="1" applyAlignment="1">
      <alignment vertical="center"/>
    </xf>
    <xf numFmtId="0" fontId="5" fillId="3" borderId="3" xfId="0" applyFont="1" applyFill="1" applyBorder="1" applyAlignment="1">
      <alignment horizontal="center" vertical="center"/>
    </xf>
    <xf numFmtId="0" fontId="6" fillId="0" borderId="2" xfId="0" applyFont="1" applyBorder="1" applyAlignment="1">
      <alignment vertical="center"/>
    </xf>
    <xf numFmtId="14" fontId="6" fillId="0" borderId="2" xfId="0" applyNumberFormat="1" applyFont="1" applyBorder="1" applyAlignment="1">
      <alignment vertical="center"/>
    </xf>
    <xf numFmtId="14" fontId="3" fillId="0" borderId="0" xfId="0" applyNumberFormat="1" applyFont="1"/>
    <xf numFmtId="0" fontId="5" fillId="3" borderId="4" xfId="0" applyFont="1" applyFill="1" applyBorder="1" applyAlignment="1">
      <alignment horizontal="center" vertical="center"/>
    </xf>
    <xf numFmtId="0" fontId="5" fillId="3" borderId="5" xfId="0" applyFont="1" applyFill="1" applyBorder="1" applyAlignment="1">
      <alignment horizontal="center" vertical="center"/>
    </xf>
    <xf numFmtId="0" fontId="6" fillId="0" borderId="6" xfId="0" applyFont="1" applyBorder="1" applyAlignment="1">
      <alignment vertical="center"/>
    </xf>
    <xf numFmtId="14" fontId="6" fillId="0" borderId="8" xfId="0" applyNumberFormat="1" applyFont="1" applyBorder="1" applyAlignment="1">
      <alignment vertical="center"/>
    </xf>
    <xf numFmtId="0" fontId="6" fillId="0" borderId="8" xfId="0" applyFont="1" applyBorder="1" applyAlignment="1">
      <alignment vertical="center"/>
    </xf>
    <xf numFmtId="0" fontId="6" fillId="0" borderId="9" xfId="0" applyFont="1" applyBorder="1" applyAlignment="1">
      <alignment vertical="center"/>
    </xf>
    <xf numFmtId="0" fontId="6" fillId="0" borderId="10" xfId="0" applyFont="1" applyBorder="1" applyAlignment="1">
      <alignment vertical="center"/>
    </xf>
    <xf numFmtId="0" fontId="6" fillId="0" borderId="0" xfId="0" applyFont="1" applyAlignment="1">
      <alignment vertical="center"/>
    </xf>
    <xf numFmtId="0" fontId="0" fillId="0" borderId="0" xfId="0" pivotButton="1"/>
    <xf numFmtId="0" fontId="0" fillId="0" borderId="0" xfId="0" applyAlignment="1">
      <alignment horizontal="left"/>
    </xf>
    <xf numFmtId="14" fontId="0" fillId="0" borderId="0" xfId="0" applyNumberFormat="1" applyAlignment="1">
      <alignment horizontal="left"/>
    </xf>
    <xf numFmtId="0" fontId="0" fillId="4" borderId="0" xfId="0" applyFill="1"/>
    <xf numFmtId="0" fontId="0" fillId="0" borderId="0" xfId="0" applyAlignment="1">
      <alignment horizontal="left" indent="2"/>
    </xf>
    <xf numFmtId="0" fontId="0" fillId="0" borderId="0" xfId="0" applyAlignment="1">
      <alignment horizontal="left" indent="1"/>
    </xf>
    <xf numFmtId="0" fontId="0" fillId="5" borderId="0" xfId="0" applyFill="1"/>
    <xf numFmtId="164" fontId="0" fillId="0" borderId="0" xfId="0" applyNumberFormat="1"/>
    <xf numFmtId="164" fontId="0" fillId="5" borderId="0" xfId="0" applyNumberFormat="1" applyFill="1"/>
    <xf numFmtId="0" fontId="6" fillId="0" borderId="4" xfId="0" applyFont="1" applyBorder="1" applyAlignment="1">
      <alignment vertical="center"/>
    </xf>
    <xf numFmtId="0" fontId="6" fillId="0" borderId="7" xfId="0" applyFont="1" applyBorder="1" applyAlignment="1">
      <alignment vertical="center"/>
    </xf>
  </cellXfs>
  <cellStyles count="2">
    <cellStyle name="Normal" xfId="0" builtinId="0"/>
    <cellStyle name="Percent" xfId="1" builtinId="5"/>
  </cellStyles>
  <dxfs count="15">
    <dxf>
      <font>
        <b val="0"/>
        <i val="0"/>
        <strike val="0"/>
        <condense val="0"/>
        <extend val="0"/>
        <outline val="0"/>
        <shadow val="0"/>
        <u val="none"/>
        <vertAlign val="baseline"/>
        <sz val="11"/>
        <color rgb="FF000000"/>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0" formatCode="General"/>
      <alignment horizontal="general" vertical="center" textRotation="0" wrapText="0" indent="0" justifyLastLine="0" shrinkToFit="0" readingOrder="0"/>
      <border diagonalUp="0" diagonalDown="0">
        <left style="thin">
          <color rgb="FFD9D9D9"/>
        </left>
        <right style="thin">
          <color rgb="FFD9D9D9"/>
        </right>
        <top style="thin">
          <color rgb="FFD9D9D9"/>
        </top>
        <bottom style="thin">
          <color rgb="FFD9D9D9"/>
        </bottom>
        <vertical/>
        <horizontal/>
      </border>
    </dxf>
    <dxf>
      <font>
        <b val="0"/>
        <i val="0"/>
        <strike val="0"/>
        <condense val="0"/>
        <extend val="0"/>
        <outline val="0"/>
        <shadow val="0"/>
        <u val="none"/>
        <vertAlign val="baseline"/>
        <sz val="11"/>
        <color rgb="FF000000"/>
        <name val="Calibri"/>
        <family val="2"/>
        <scheme val="none"/>
      </font>
      <numFmt numFmtId="0" formatCode="General"/>
      <alignment horizontal="general" vertical="center" textRotation="0" wrapText="0" indent="0" justifyLastLine="0" shrinkToFit="0" readingOrder="0"/>
      <border diagonalUp="0" diagonalDown="0">
        <left style="thin">
          <color rgb="FFD9D9D9"/>
        </left>
        <right style="thin">
          <color rgb="FFD9D9D9"/>
        </right>
        <top style="thin">
          <color rgb="FFD9D9D9"/>
        </top>
        <bottom style="thin">
          <color rgb="FFD9D9D9"/>
        </bottom>
        <vertical/>
        <horizontal/>
      </border>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border diagonalUp="0" diagonalDown="0">
        <left style="thin">
          <color rgb="FFD9D9D9"/>
        </left>
        <right/>
        <top style="thin">
          <color rgb="FFD9D9D9"/>
        </top>
        <bottom style="thin">
          <color rgb="FFD9D9D9"/>
        </bottom>
        <vertical/>
        <horizontal/>
      </border>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border diagonalUp="0" diagonalDown="0">
        <left style="thin">
          <color rgb="FFD9D9D9"/>
        </left>
        <right style="thin">
          <color rgb="FFD9D9D9"/>
        </right>
        <top style="thin">
          <color rgb="FFD9D9D9"/>
        </top>
        <bottom style="thin">
          <color rgb="FFD9D9D9"/>
        </bottom>
        <vertical/>
        <horizontal/>
      </border>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border diagonalUp="0" diagonalDown="0">
        <left style="thin">
          <color rgb="FFD9D9D9"/>
        </left>
        <right style="thin">
          <color rgb="FFD9D9D9"/>
        </right>
        <top style="thin">
          <color rgb="FFD9D9D9"/>
        </top>
        <bottom style="thin">
          <color rgb="FFD9D9D9"/>
        </bottom>
        <vertical/>
        <horizontal/>
      </border>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border diagonalUp="0" diagonalDown="0">
        <left style="thin">
          <color rgb="FFD9D9D9"/>
        </left>
        <right style="thin">
          <color rgb="FFD9D9D9"/>
        </right>
        <top style="thin">
          <color rgb="FFD9D9D9"/>
        </top>
        <bottom style="thin">
          <color rgb="FFD9D9D9"/>
        </bottom>
        <vertical/>
        <horizontal/>
      </border>
    </dxf>
    <dxf>
      <font>
        <b val="0"/>
        <i val="0"/>
        <strike val="0"/>
        <condense val="0"/>
        <extend val="0"/>
        <outline val="0"/>
        <shadow val="0"/>
        <u val="none"/>
        <vertAlign val="baseline"/>
        <sz val="11"/>
        <color rgb="FF000000"/>
        <name val="Calibri"/>
        <family val="2"/>
        <scheme val="none"/>
      </font>
      <numFmt numFmtId="19" formatCode="dd/mm/yyyy"/>
      <alignment horizontal="general" vertical="center" textRotation="0" wrapText="0" indent="0" justifyLastLine="0" shrinkToFit="0" readingOrder="0"/>
      <border diagonalUp="0" diagonalDown="0">
        <left style="thin">
          <color rgb="FFD9D9D9"/>
        </left>
        <right style="thin">
          <color rgb="FFD9D9D9"/>
        </right>
        <top style="thin">
          <color rgb="FFD9D9D9"/>
        </top>
        <bottom style="thin">
          <color rgb="FFD9D9D9"/>
        </bottom>
        <vertical/>
        <horizontal/>
      </border>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border diagonalUp="0" diagonalDown="0">
        <left style="thin">
          <color rgb="FFD9D9D9"/>
        </left>
        <right style="thin">
          <color rgb="FFD9D9D9"/>
        </right>
        <top style="thin">
          <color rgb="FFD9D9D9"/>
        </top>
        <bottom style="thin">
          <color rgb="FFD9D9D9"/>
        </bottom>
        <vertical/>
        <horizontal/>
      </border>
    </dxf>
    <dxf>
      <font>
        <b val="0"/>
        <i val="0"/>
        <strike val="0"/>
        <condense val="0"/>
        <extend val="0"/>
        <outline val="0"/>
        <shadow val="0"/>
        <u val="none"/>
        <vertAlign val="baseline"/>
        <sz val="11"/>
        <color rgb="FF000000"/>
        <name val="Calibri"/>
        <family val="2"/>
        <scheme val="none"/>
      </font>
      <numFmt numFmtId="19" formatCode="dd/mm/yyyy"/>
      <alignment horizontal="general" vertical="center" textRotation="0" wrapText="0" indent="0" justifyLastLine="0" shrinkToFit="0" readingOrder="0"/>
      <border diagonalUp="0" diagonalDown="0">
        <left style="thin">
          <color rgb="FFD9D9D9"/>
        </left>
        <right style="thin">
          <color rgb="FFD9D9D9"/>
        </right>
        <top style="thin">
          <color rgb="FFD9D9D9"/>
        </top>
        <bottom style="thin">
          <color rgb="FFD9D9D9"/>
        </bottom>
        <vertical/>
        <horizontal/>
      </border>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border diagonalUp="0" diagonalDown="0">
        <left/>
        <right style="thin">
          <color rgb="FFD9D9D9"/>
        </right>
        <top style="thin">
          <color rgb="FFD9D9D9"/>
        </top>
        <bottom style="thin">
          <color rgb="FFD9D9D9"/>
        </bottom>
        <vertical/>
        <horizontal/>
      </border>
    </dxf>
    <dxf>
      <border outline="0">
        <left style="thin">
          <color rgb="FFD9D9D9"/>
        </left>
        <right style="thin">
          <color rgb="FFD9D9D9"/>
        </right>
        <bottom style="thin">
          <color rgb="FFD9D9D9"/>
        </bottom>
      </border>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rgb="FF272760"/>
        </patternFill>
      </fill>
      <alignment horizontal="center" vertical="center" textRotation="0" wrapText="0" indent="0" justifyLastLine="0" shrinkToFit="0" readingOrder="0"/>
      <border diagonalUp="0" diagonalDown="0" outline="0">
        <left style="thin">
          <color rgb="FFD9D9D9"/>
        </left>
        <right style="thin">
          <color rgb="FFD9D9D9"/>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[Supermarket-Sales-Sample-Data.xlsm]DATA!PivotTable6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DATA!$J$5</c:f>
              <c:strCache>
                <c:ptCount val="1"/>
                <c:pt idx="0">
                  <c:v>Total</c:v>
                </c:pt>
              </c:strCache>
            </c:strRef>
          </c:tx>
          <c:spPr>
            <a:solidFill>
              <a:schemeClr val="accent1"/>
            </a:solidFill>
            <a:ln>
              <a:noFill/>
            </a:ln>
            <a:effectLst/>
          </c:spPr>
          <c:invertIfNegative val="0"/>
          <c:cat>
            <c:strRef>
              <c:f>DATA!$I$6:$I$57</c:f>
              <c:strCache>
                <c:ptCount val="51"/>
                <c:pt idx="0">
                  <c:v>William Hernandez</c:v>
                </c:pt>
                <c:pt idx="1">
                  <c:v>Sarah Smith</c:v>
                </c:pt>
                <c:pt idx="2">
                  <c:v>Sarah Johnson</c:v>
                </c:pt>
                <c:pt idx="3">
                  <c:v>Sarah Gonzalez</c:v>
                </c:pt>
                <c:pt idx="4">
                  <c:v>Sarah Garcia</c:v>
                </c:pt>
                <c:pt idx="5">
                  <c:v>Sarah Anderson</c:v>
                </c:pt>
                <c:pt idx="6">
                  <c:v>Richard Perez</c:v>
                </c:pt>
                <c:pt idx="7">
                  <c:v>Michael Smith</c:v>
                </c:pt>
                <c:pt idx="8">
                  <c:v>Michael Martinez</c:v>
                </c:pt>
                <c:pt idx="9">
                  <c:v>Michael Johnson</c:v>
                </c:pt>
                <c:pt idx="10">
                  <c:v>Michael Garcia</c:v>
                </c:pt>
                <c:pt idx="11">
                  <c:v>Michael Davis</c:v>
                </c:pt>
                <c:pt idx="12">
                  <c:v>Melissa Lopez</c:v>
                </c:pt>
                <c:pt idx="13">
                  <c:v>Matthew Wilson</c:v>
                </c:pt>
                <c:pt idx="14">
                  <c:v>Matthew Smith</c:v>
                </c:pt>
                <c:pt idx="15">
                  <c:v>Matthew Johnson</c:v>
                </c:pt>
                <c:pt idx="16">
                  <c:v>Matthew Hernandez</c:v>
                </c:pt>
                <c:pt idx="17">
                  <c:v>Matthew Garcia</c:v>
                </c:pt>
                <c:pt idx="18">
                  <c:v>Lisa Taylor</c:v>
                </c:pt>
                <c:pt idx="19">
                  <c:v>Laura Brown</c:v>
                </c:pt>
                <c:pt idx="20">
                  <c:v>Kimberly Garcia</c:v>
                </c:pt>
                <c:pt idx="21">
                  <c:v>John Smith</c:v>
                </c:pt>
                <c:pt idx="22">
                  <c:v>Jessica Wilson</c:v>
                </c:pt>
                <c:pt idx="23">
                  <c:v>Jessica Smith</c:v>
                </c:pt>
                <c:pt idx="24">
                  <c:v>Jessica Martinez</c:v>
                </c:pt>
                <c:pt idx="25">
                  <c:v>Jessica Johnson</c:v>
                </c:pt>
                <c:pt idx="26">
                  <c:v>Jessica Gonzalez</c:v>
                </c:pt>
                <c:pt idx="27">
                  <c:v>Jennifer Smith</c:v>
                </c:pt>
                <c:pt idx="28">
                  <c:v>Jennifer Martinez</c:v>
                </c:pt>
                <c:pt idx="29">
                  <c:v>Jennifer Hernandez</c:v>
                </c:pt>
                <c:pt idx="30">
                  <c:v>Jennifer Davis</c:v>
                </c:pt>
                <c:pt idx="31">
                  <c:v>Jane Doe</c:v>
                </c:pt>
                <c:pt idx="32">
                  <c:v>James Johnson</c:v>
                </c:pt>
                <c:pt idx="33">
                  <c:v>Emily Rodriguez</c:v>
                </c:pt>
                <c:pt idx="34">
                  <c:v>Emily Johnson</c:v>
                </c:pt>
                <c:pt idx="35">
                  <c:v>Emily Davis</c:v>
                </c:pt>
                <c:pt idx="36">
                  <c:v>Emily Brown</c:v>
                </c:pt>
                <c:pt idx="37">
                  <c:v>David Wilson</c:v>
                </c:pt>
                <c:pt idx="38">
                  <c:v>David Rodriguez</c:v>
                </c:pt>
                <c:pt idx="39">
                  <c:v>David Martinez</c:v>
                </c:pt>
                <c:pt idx="40">
                  <c:v>David Brown</c:v>
                </c:pt>
                <c:pt idx="41">
                  <c:v>Daniel Wilson</c:v>
                </c:pt>
                <c:pt idx="42">
                  <c:v>Daniel Smith</c:v>
                </c:pt>
                <c:pt idx="43">
                  <c:v>Daniel Martinez</c:v>
                </c:pt>
                <c:pt idx="44">
                  <c:v>Daniel Hernandez</c:v>
                </c:pt>
                <c:pt idx="45">
                  <c:v>Daniel Davis</c:v>
                </c:pt>
                <c:pt idx="46">
                  <c:v>Daniel Brown</c:v>
                </c:pt>
                <c:pt idx="47">
                  <c:v>Christopher Thomas</c:v>
                </c:pt>
                <c:pt idx="48">
                  <c:v>Christopher Rodriguez</c:v>
                </c:pt>
                <c:pt idx="49">
                  <c:v>Amy Hernandez</c:v>
                </c:pt>
                <c:pt idx="50">
                  <c:v>Amanda Martinez</c:v>
                </c:pt>
              </c:strCache>
            </c:strRef>
          </c:cat>
          <c:val>
            <c:numRef>
              <c:f>DATA!$J$6:$J$57</c:f>
              <c:numCache>
                <c:formatCode>General</c:formatCode>
                <c:ptCount val="51"/>
                <c:pt idx="0">
                  <c:v>164.94499999999999</c:v>
                </c:pt>
                <c:pt idx="1">
                  <c:v>153.97799999999998</c:v>
                </c:pt>
                <c:pt idx="2">
                  <c:v>252.92299999999997</c:v>
                </c:pt>
                <c:pt idx="3">
                  <c:v>318.96699999999998</c:v>
                </c:pt>
                <c:pt idx="4">
                  <c:v>164.989</c:v>
                </c:pt>
                <c:pt idx="5">
                  <c:v>153.97799999999998</c:v>
                </c:pt>
                <c:pt idx="6">
                  <c:v>164.96699999999998</c:v>
                </c:pt>
                <c:pt idx="7">
                  <c:v>164.96699999999998</c:v>
                </c:pt>
                <c:pt idx="8">
                  <c:v>296.91199999999998</c:v>
                </c:pt>
                <c:pt idx="9">
                  <c:v>505.94499999999994</c:v>
                </c:pt>
                <c:pt idx="10">
                  <c:v>175.97799999999998</c:v>
                </c:pt>
                <c:pt idx="11">
                  <c:v>219.989</c:v>
                </c:pt>
                <c:pt idx="12">
                  <c:v>175.97799999999998</c:v>
                </c:pt>
                <c:pt idx="13">
                  <c:v>87.955999999999989</c:v>
                </c:pt>
                <c:pt idx="14">
                  <c:v>252.92299999999997</c:v>
                </c:pt>
                <c:pt idx="15">
                  <c:v>131.96699999999998</c:v>
                </c:pt>
                <c:pt idx="16">
                  <c:v>153.97799999999998</c:v>
                </c:pt>
                <c:pt idx="17">
                  <c:v>307.97800000000001</c:v>
                </c:pt>
                <c:pt idx="18">
                  <c:v>175.97799999999998</c:v>
                </c:pt>
                <c:pt idx="19">
                  <c:v>131.96699999999998</c:v>
                </c:pt>
                <c:pt idx="20">
                  <c:v>219.989</c:v>
                </c:pt>
                <c:pt idx="21">
                  <c:v>109.97800000000001</c:v>
                </c:pt>
                <c:pt idx="22">
                  <c:v>395.96699999999998</c:v>
                </c:pt>
                <c:pt idx="23">
                  <c:v>164.94499999999999</c:v>
                </c:pt>
                <c:pt idx="24">
                  <c:v>252.92299999999997</c:v>
                </c:pt>
                <c:pt idx="25">
                  <c:v>142.989</c:v>
                </c:pt>
                <c:pt idx="26">
                  <c:v>142.989</c:v>
                </c:pt>
                <c:pt idx="27">
                  <c:v>164.94499999999999</c:v>
                </c:pt>
                <c:pt idx="28">
                  <c:v>175.97799999999998</c:v>
                </c:pt>
                <c:pt idx="29">
                  <c:v>296.95600000000002</c:v>
                </c:pt>
                <c:pt idx="30">
                  <c:v>538.91199999999992</c:v>
                </c:pt>
                <c:pt idx="31">
                  <c:v>32.988999999999997</c:v>
                </c:pt>
                <c:pt idx="32">
                  <c:v>153.97799999999998</c:v>
                </c:pt>
                <c:pt idx="33">
                  <c:v>131.96699999999998</c:v>
                </c:pt>
                <c:pt idx="34">
                  <c:v>307.97800000000001</c:v>
                </c:pt>
                <c:pt idx="35">
                  <c:v>219.989</c:v>
                </c:pt>
                <c:pt idx="36">
                  <c:v>329.89</c:v>
                </c:pt>
                <c:pt idx="37">
                  <c:v>472.96699999999998</c:v>
                </c:pt>
                <c:pt idx="38">
                  <c:v>329.91199999999998</c:v>
                </c:pt>
                <c:pt idx="39">
                  <c:v>175.97799999999998</c:v>
                </c:pt>
                <c:pt idx="40">
                  <c:v>87.955999999999989</c:v>
                </c:pt>
                <c:pt idx="41">
                  <c:v>164.94499999999999</c:v>
                </c:pt>
                <c:pt idx="42">
                  <c:v>219.989</c:v>
                </c:pt>
                <c:pt idx="43">
                  <c:v>131.96699999999998</c:v>
                </c:pt>
                <c:pt idx="44">
                  <c:v>296.95600000000002</c:v>
                </c:pt>
                <c:pt idx="45">
                  <c:v>219.989</c:v>
                </c:pt>
                <c:pt idx="46">
                  <c:v>241.93399999999997</c:v>
                </c:pt>
                <c:pt idx="47">
                  <c:v>98.98899999999999</c:v>
                </c:pt>
                <c:pt idx="48">
                  <c:v>142.989</c:v>
                </c:pt>
                <c:pt idx="49">
                  <c:v>164.96699999999998</c:v>
                </c:pt>
                <c:pt idx="50">
                  <c:v>164.989</c:v>
                </c:pt>
              </c:numCache>
            </c:numRef>
          </c:val>
          <c:extLst>
            <c:ext xmlns:c16="http://schemas.microsoft.com/office/drawing/2014/chart" uri="{C3380CC4-5D6E-409C-BE32-E72D297353CC}">
              <c16:uniqueId val="{00000000-81E3-459C-985B-E59DDB44CC1A}"/>
            </c:ext>
          </c:extLst>
        </c:ser>
        <c:dLbls>
          <c:showLegendKey val="0"/>
          <c:showVal val="0"/>
          <c:showCatName val="0"/>
          <c:showSerName val="0"/>
          <c:showPercent val="0"/>
          <c:showBubbleSize val="0"/>
        </c:dLbls>
        <c:gapWidth val="219"/>
        <c:overlap val="-27"/>
        <c:axId val="2070509568"/>
        <c:axId val="2070501408"/>
      </c:barChart>
      <c:catAx>
        <c:axId val="2070509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501408"/>
        <c:crosses val="autoZero"/>
        <c:auto val="1"/>
        <c:lblAlgn val="ctr"/>
        <c:lblOffset val="100"/>
        <c:noMultiLvlLbl val="0"/>
      </c:catAx>
      <c:valAx>
        <c:axId val="20705014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509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[Supermarket-Sales-Sample-Data.xlsm]DATA!PivotTable7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Quantity</a:t>
            </a:r>
            <a:r>
              <a:rPr lang="en-US" baseline="0"/>
              <a:t> Sold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DATA!$M$32</c:f>
              <c:strCache>
                <c:ptCount val="1"/>
                <c:pt idx="0">
                  <c:v>Total</c:v>
                </c:pt>
              </c:strCache>
            </c:strRef>
          </c:tx>
          <c:spPr>
            <a:solidFill>
              <a:schemeClr val="accent1"/>
            </a:solidFill>
            <a:ln>
              <a:noFill/>
            </a:ln>
            <a:effectLst/>
          </c:spPr>
          <c:invertIfNegative val="0"/>
          <c:cat>
            <c:strRef>
              <c:f>DATA!$L$33:$L$84</c:f>
              <c:strCache>
                <c:ptCount val="51"/>
                <c:pt idx="0">
                  <c:v>Amanda Martinez</c:v>
                </c:pt>
                <c:pt idx="1">
                  <c:v>Amy Hernandez</c:v>
                </c:pt>
                <c:pt idx="2">
                  <c:v>Christopher Rodriguez</c:v>
                </c:pt>
                <c:pt idx="3">
                  <c:v>Christopher Thomas</c:v>
                </c:pt>
                <c:pt idx="4">
                  <c:v>Daniel Brown</c:v>
                </c:pt>
                <c:pt idx="5">
                  <c:v>Daniel Davis</c:v>
                </c:pt>
                <c:pt idx="6">
                  <c:v>Daniel Hernandez</c:v>
                </c:pt>
                <c:pt idx="7">
                  <c:v>Daniel Martinez</c:v>
                </c:pt>
                <c:pt idx="8">
                  <c:v>Daniel Smith</c:v>
                </c:pt>
                <c:pt idx="9">
                  <c:v>Daniel Wilson</c:v>
                </c:pt>
                <c:pt idx="10">
                  <c:v>David Brown</c:v>
                </c:pt>
                <c:pt idx="11">
                  <c:v>David Martinez</c:v>
                </c:pt>
                <c:pt idx="12">
                  <c:v>David Rodriguez</c:v>
                </c:pt>
                <c:pt idx="13">
                  <c:v>David Wilson</c:v>
                </c:pt>
                <c:pt idx="14">
                  <c:v>Emily Brown</c:v>
                </c:pt>
                <c:pt idx="15">
                  <c:v>Emily Davis</c:v>
                </c:pt>
                <c:pt idx="16">
                  <c:v>Emily Johnson</c:v>
                </c:pt>
                <c:pt idx="17">
                  <c:v>Emily Rodriguez</c:v>
                </c:pt>
                <c:pt idx="18">
                  <c:v>James Johnson</c:v>
                </c:pt>
                <c:pt idx="19">
                  <c:v>Jane Doe</c:v>
                </c:pt>
                <c:pt idx="20">
                  <c:v>Jennifer Davis</c:v>
                </c:pt>
                <c:pt idx="21">
                  <c:v>Jennifer Hernandez</c:v>
                </c:pt>
                <c:pt idx="22">
                  <c:v>Jennifer Martinez</c:v>
                </c:pt>
                <c:pt idx="23">
                  <c:v>Jennifer Smith</c:v>
                </c:pt>
                <c:pt idx="24">
                  <c:v>Jessica Gonzalez</c:v>
                </c:pt>
                <c:pt idx="25">
                  <c:v>Jessica Johnson</c:v>
                </c:pt>
                <c:pt idx="26">
                  <c:v>Jessica Martinez</c:v>
                </c:pt>
                <c:pt idx="27">
                  <c:v>Jessica Smith</c:v>
                </c:pt>
                <c:pt idx="28">
                  <c:v>Jessica Wilson</c:v>
                </c:pt>
                <c:pt idx="29">
                  <c:v>John Smith</c:v>
                </c:pt>
                <c:pt idx="30">
                  <c:v>Kimberly Garcia</c:v>
                </c:pt>
                <c:pt idx="31">
                  <c:v>Laura Brown</c:v>
                </c:pt>
                <c:pt idx="32">
                  <c:v>Lisa Taylor</c:v>
                </c:pt>
                <c:pt idx="33">
                  <c:v>Matthew Garcia</c:v>
                </c:pt>
                <c:pt idx="34">
                  <c:v>Matthew Hernandez</c:v>
                </c:pt>
                <c:pt idx="35">
                  <c:v>Matthew Johnson</c:v>
                </c:pt>
                <c:pt idx="36">
                  <c:v>Matthew Smith</c:v>
                </c:pt>
                <c:pt idx="37">
                  <c:v>Matthew Wilson</c:v>
                </c:pt>
                <c:pt idx="38">
                  <c:v>Melissa Lopez</c:v>
                </c:pt>
                <c:pt idx="39">
                  <c:v>Michael Davis</c:v>
                </c:pt>
                <c:pt idx="40">
                  <c:v>Michael Garcia</c:v>
                </c:pt>
                <c:pt idx="41">
                  <c:v>Michael Johnson</c:v>
                </c:pt>
                <c:pt idx="42">
                  <c:v>Michael Martinez</c:v>
                </c:pt>
                <c:pt idx="43">
                  <c:v>Michael Smith</c:v>
                </c:pt>
                <c:pt idx="44">
                  <c:v>Richard Perez</c:v>
                </c:pt>
                <c:pt idx="45">
                  <c:v>Sarah Anderson</c:v>
                </c:pt>
                <c:pt idx="46">
                  <c:v>Sarah Garcia</c:v>
                </c:pt>
                <c:pt idx="47">
                  <c:v>Sarah Gonzalez</c:v>
                </c:pt>
                <c:pt idx="48">
                  <c:v>Sarah Johnson</c:v>
                </c:pt>
                <c:pt idx="49">
                  <c:v>Sarah Smith</c:v>
                </c:pt>
                <c:pt idx="50">
                  <c:v>William Hernandez</c:v>
                </c:pt>
              </c:strCache>
            </c:strRef>
          </c:cat>
          <c:val>
            <c:numRef>
              <c:f>DATA!$M$33:$M$84</c:f>
              <c:numCache>
                <c:formatCode>General</c:formatCode>
                <c:ptCount val="51"/>
                <c:pt idx="0">
                  <c:v>1</c:v>
                </c:pt>
                <c:pt idx="1">
                  <c:v>3</c:v>
                </c:pt>
                <c:pt idx="2">
                  <c:v>1</c:v>
                </c:pt>
                <c:pt idx="3">
                  <c:v>1</c:v>
                </c:pt>
                <c:pt idx="4">
                  <c:v>6</c:v>
                </c:pt>
                <c:pt idx="5">
                  <c:v>1</c:v>
                </c:pt>
                <c:pt idx="6">
                  <c:v>4</c:v>
                </c:pt>
                <c:pt idx="7">
                  <c:v>3</c:v>
                </c:pt>
                <c:pt idx="8">
                  <c:v>1</c:v>
                </c:pt>
                <c:pt idx="9">
                  <c:v>5</c:v>
                </c:pt>
                <c:pt idx="10">
                  <c:v>4</c:v>
                </c:pt>
                <c:pt idx="11">
                  <c:v>2</c:v>
                </c:pt>
                <c:pt idx="12">
                  <c:v>8</c:v>
                </c:pt>
                <c:pt idx="13">
                  <c:v>3</c:v>
                </c:pt>
                <c:pt idx="14">
                  <c:v>10</c:v>
                </c:pt>
                <c:pt idx="15">
                  <c:v>1</c:v>
                </c:pt>
                <c:pt idx="16">
                  <c:v>2</c:v>
                </c:pt>
                <c:pt idx="17">
                  <c:v>3</c:v>
                </c:pt>
                <c:pt idx="18">
                  <c:v>2</c:v>
                </c:pt>
                <c:pt idx="19">
                  <c:v>1</c:v>
                </c:pt>
                <c:pt idx="20">
                  <c:v>8</c:v>
                </c:pt>
                <c:pt idx="21">
                  <c:v>4</c:v>
                </c:pt>
                <c:pt idx="22">
                  <c:v>2</c:v>
                </c:pt>
                <c:pt idx="23">
                  <c:v>5</c:v>
                </c:pt>
                <c:pt idx="24">
                  <c:v>1</c:v>
                </c:pt>
                <c:pt idx="25">
                  <c:v>1</c:v>
                </c:pt>
                <c:pt idx="26">
                  <c:v>7</c:v>
                </c:pt>
                <c:pt idx="27">
                  <c:v>5</c:v>
                </c:pt>
                <c:pt idx="28">
                  <c:v>3</c:v>
                </c:pt>
                <c:pt idx="29">
                  <c:v>2</c:v>
                </c:pt>
                <c:pt idx="30">
                  <c:v>1</c:v>
                </c:pt>
                <c:pt idx="31">
                  <c:v>3</c:v>
                </c:pt>
                <c:pt idx="32">
                  <c:v>2</c:v>
                </c:pt>
                <c:pt idx="33">
                  <c:v>2</c:v>
                </c:pt>
                <c:pt idx="34">
                  <c:v>2</c:v>
                </c:pt>
                <c:pt idx="35">
                  <c:v>3</c:v>
                </c:pt>
                <c:pt idx="36">
                  <c:v>7</c:v>
                </c:pt>
                <c:pt idx="37">
                  <c:v>4</c:v>
                </c:pt>
                <c:pt idx="38">
                  <c:v>2</c:v>
                </c:pt>
                <c:pt idx="39">
                  <c:v>1</c:v>
                </c:pt>
                <c:pt idx="40">
                  <c:v>2</c:v>
                </c:pt>
                <c:pt idx="41">
                  <c:v>5</c:v>
                </c:pt>
                <c:pt idx="42">
                  <c:v>8</c:v>
                </c:pt>
                <c:pt idx="43">
                  <c:v>3</c:v>
                </c:pt>
                <c:pt idx="44">
                  <c:v>3</c:v>
                </c:pt>
                <c:pt idx="45">
                  <c:v>2</c:v>
                </c:pt>
                <c:pt idx="46">
                  <c:v>1</c:v>
                </c:pt>
                <c:pt idx="47">
                  <c:v>3</c:v>
                </c:pt>
                <c:pt idx="48">
                  <c:v>7</c:v>
                </c:pt>
                <c:pt idx="49">
                  <c:v>2</c:v>
                </c:pt>
                <c:pt idx="50">
                  <c:v>5</c:v>
                </c:pt>
              </c:numCache>
            </c:numRef>
          </c:val>
          <c:extLst>
            <c:ext xmlns:c16="http://schemas.microsoft.com/office/drawing/2014/chart" uri="{C3380CC4-5D6E-409C-BE32-E72D297353CC}">
              <c16:uniqueId val="{00000000-2770-4C03-891C-2F2FC4CC7E5E}"/>
            </c:ext>
          </c:extLst>
        </c:ser>
        <c:dLbls>
          <c:showLegendKey val="0"/>
          <c:showVal val="0"/>
          <c:showCatName val="0"/>
          <c:showSerName val="0"/>
          <c:showPercent val="0"/>
          <c:showBubbleSize val="0"/>
        </c:dLbls>
        <c:gapWidth val="219"/>
        <c:overlap val="-27"/>
        <c:axId val="340667120"/>
        <c:axId val="340590672"/>
      </c:barChart>
      <c:catAx>
        <c:axId val="340667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590672"/>
        <c:crosses val="autoZero"/>
        <c:auto val="1"/>
        <c:lblAlgn val="ctr"/>
        <c:lblOffset val="100"/>
        <c:noMultiLvlLbl val="0"/>
      </c:catAx>
      <c:valAx>
        <c:axId val="340590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667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[Supermarket-Sales-Sample-Data.xlsm]DATA!PivotTable8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Order Date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DATA!$R$21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DATA!$Q$22:$Q$57</c:f>
              <c:strCache>
                <c:ptCount val="35"/>
                <c:pt idx="0">
                  <c:v>01-01-2024</c:v>
                </c:pt>
                <c:pt idx="1">
                  <c:v>02-01-2024</c:v>
                </c:pt>
                <c:pt idx="2">
                  <c:v>03-01-2024</c:v>
                </c:pt>
                <c:pt idx="3">
                  <c:v>04-01-2024</c:v>
                </c:pt>
                <c:pt idx="4">
                  <c:v>05-01-2024</c:v>
                </c:pt>
                <c:pt idx="5">
                  <c:v>06-01-2024</c:v>
                </c:pt>
                <c:pt idx="6">
                  <c:v>07-01-2024</c:v>
                </c:pt>
                <c:pt idx="7">
                  <c:v>08-01-2024</c:v>
                </c:pt>
                <c:pt idx="8">
                  <c:v>09-01-2024</c:v>
                </c:pt>
                <c:pt idx="9">
                  <c:v>10-01-2024</c:v>
                </c:pt>
                <c:pt idx="10">
                  <c:v>11-01-2024</c:v>
                </c:pt>
                <c:pt idx="11">
                  <c:v>12-01-2024</c:v>
                </c:pt>
                <c:pt idx="12">
                  <c:v>13-01-2024</c:v>
                </c:pt>
                <c:pt idx="13">
                  <c:v>14-01-2024</c:v>
                </c:pt>
                <c:pt idx="14">
                  <c:v>15-01-2024</c:v>
                </c:pt>
                <c:pt idx="15">
                  <c:v>16-01-2024</c:v>
                </c:pt>
                <c:pt idx="16">
                  <c:v>17-01-2024</c:v>
                </c:pt>
                <c:pt idx="17">
                  <c:v>18-01-2024</c:v>
                </c:pt>
                <c:pt idx="18">
                  <c:v>19-01-2024</c:v>
                </c:pt>
                <c:pt idx="19">
                  <c:v>20-01-2024</c:v>
                </c:pt>
                <c:pt idx="20">
                  <c:v>21-01-2024</c:v>
                </c:pt>
                <c:pt idx="21">
                  <c:v>22-01-2024</c:v>
                </c:pt>
                <c:pt idx="22">
                  <c:v>23-01-2024</c:v>
                </c:pt>
                <c:pt idx="23">
                  <c:v>24-01-2024</c:v>
                </c:pt>
                <c:pt idx="24">
                  <c:v>25-01-2024</c:v>
                </c:pt>
                <c:pt idx="25">
                  <c:v>26-01-2024</c:v>
                </c:pt>
                <c:pt idx="26">
                  <c:v>27-01-2024</c:v>
                </c:pt>
                <c:pt idx="27">
                  <c:v>28-01-2024</c:v>
                </c:pt>
                <c:pt idx="28">
                  <c:v>29-01-2024</c:v>
                </c:pt>
                <c:pt idx="29">
                  <c:v>30-01-2024</c:v>
                </c:pt>
                <c:pt idx="30">
                  <c:v>31-01-2024</c:v>
                </c:pt>
                <c:pt idx="31">
                  <c:v>01-02-2024</c:v>
                </c:pt>
                <c:pt idx="32">
                  <c:v>02-02-2024</c:v>
                </c:pt>
                <c:pt idx="33">
                  <c:v>03-02-2024</c:v>
                </c:pt>
                <c:pt idx="34">
                  <c:v>04-02-2024</c:v>
                </c:pt>
              </c:strCache>
            </c:strRef>
          </c:cat>
          <c:val>
            <c:numRef>
              <c:f>DATA!$R$22:$R$57</c:f>
              <c:numCache>
                <c:formatCode>General</c:formatCode>
                <c:ptCount val="35"/>
                <c:pt idx="0">
                  <c:v>142.96700000000001</c:v>
                </c:pt>
                <c:pt idx="1">
                  <c:v>417.923</c:v>
                </c:pt>
                <c:pt idx="2">
                  <c:v>340.96699999999998</c:v>
                </c:pt>
                <c:pt idx="3">
                  <c:v>285.94499999999994</c:v>
                </c:pt>
                <c:pt idx="4">
                  <c:v>318.97800000000001</c:v>
                </c:pt>
                <c:pt idx="5">
                  <c:v>340.923</c:v>
                </c:pt>
                <c:pt idx="6">
                  <c:v>307.95600000000002</c:v>
                </c:pt>
                <c:pt idx="7">
                  <c:v>252.94499999999999</c:v>
                </c:pt>
                <c:pt idx="8">
                  <c:v>285.94499999999994</c:v>
                </c:pt>
                <c:pt idx="9">
                  <c:v>384.93399999999997</c:v>
                </c:pt>
                <c:pt idx="10">
                  <c:v>340.94499999999994</c:v>
                </c:pt>
                <c:pt idx="11">
                  <c:v>230.94499999999999</c:v>
                </c:pt>
                <c:pt idx="12">
                  <c:v>318.96699999999998</c:v>
                </c:pt>
                <c:pt idx="13">
                  <c:v>351.95600000000002</c:v>
                </c:pt>
                <c:pt idx="14">
                  <c:v>340.923</c:v>
                </c:pt>
                <c:pt idx="15">
                  <c:v>307.95600000000002</c:v>
                </c:pt>
                <c:pt idx="16">
                  <c:v>252.94499999999999</c:v>
                </c:pt>
                <c:pt idx="17">
                  <c:v>285.94499999999994</c:v>
                </c:pt>
                <c:pt idx="18">
                  <c:v>384.93399999999997</c:v>
                </c:pt>
                <c:pt idx="19">
                  <c:v>340.94499999999994</c:v>
                </c:pt>
                <c:pt idx="20">
                  <c:v>230.94499999999999</c:v>
                </c:pt>
                <c:pt idx="21">
                  <c:v>318.96699999999998</c:v>
                </c:pt>
                <c:pt idx="22">
                  <c:v>351.95600000000002</c:v>
                </c:pt>
                <c:pt idx="23">
                  <c:v>340.923</c:v>
                </c:pt>
                <c:pt idx="24">
                  <c:v>307.95600000000002</c:v>
                </c:pt>
                <c:pt idx="25">
                  <c:v>252.94499999999999</c:v>
                </c:pt>
                <c:pt idx="26">
                  <c:v>285.94499999999994</c:v>
                </c:pt>
                <c:pt idx="27">
                  <c:v>384.93399999999997</c:v>
                </c:pt>
                <c:pt idx="28">
                  <c:v>340.94499999999994</c:v>
                </c:pt>
                <c:pt idx="29">
                  <c:v>230.94499999999999</c:v>
                </c:pt>
                <c:pt idx="30">
                  <c:v>318.96699999999998</c:v>
                </c:pt>
                <c:pt idx="31">
                  <c:v>516.90100000000007</c:v>
                </c:pt>
                <c:pt idx="32">
                  <c:v>175.97799999999998</c:v>
                </c:pt>
                <c:pt idx="33">
                  <c:v>164.96699999999998</c:v>
                </c:pt>
                <c:pt idx="34">
                  <c:v>395.93399999999997</c:v>
                </c:pt>
              </c:numCache>
            </c:numRef>
          </c:val>
          <c:smooth val="0"/>
          <c:extLst>
            <c:ext xmlns:c16="http://schemas.microsoft.com/office/drawing/2014/chart" uri="{C3380CC4-5D6E-409C-BE32-E72D297353CC}">
              <c16:uniqueId val="{00000000-D1F5-4F87-A073-3A55838ECB1A}"/>
            </c:ext>
          </c:extLst>
        </c:ser>
        <c:dLbls>
          <c:showLegendKey val="0"/>
          <c:showVal val="0"/>
          <c:showCatName val="0"/>
          <c:showSerName val="0"/>
          <c:showPercent val="0"/>
          <c:showBubbleSize val="0"/>
        </c:dLbls>
        <c:marker val="1"/>
        <c:smooth val="0"/>
        <c:axId val="187843856"/>
        <c:axId val="187842416"/>
      </c:lineChart>
      <c:catAx>
        <c:axId val="18784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42416"/>
        <c:crosses val="autoZero"/>
        <c:auto val="1"/>
        <c:lblAlgn val="ctr"/>
        <c:lblOffset val="100"/>
        <c:noMultiLvlLbl val="0"/>
      </c:catAx>
      <c:valAx>
        <c:axId val="187842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43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[Supermarket-Sales-Sample-Data.xlsm]DATA!PivotTable10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Sales</a:t>
            </a:r>
            <a:r>
              <a:rPr lang="en-US" b="1" baseline="0">
                <a:solidFill>
                  <a:schemeClr val="accent5">
                    <a:lumMod val="75000"/>
                  </a:schemeClr>
                </a:solidFill>
              </a:rPr>
              <a:t> Trend By Order Date</a:t>
            </a:r>
            <a:endParaRPr lang="en-US" b="1">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DATA!$V$2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DATA!$U$3:$U$38</c:f>
              <c:strCache>
                <c:ptCount val="35"/>
                <c:pt idx="0">
                  <c:v>01-01-2024</c:v>
                </c:pt>
                <c:pt idx="1">
                  <c:v>02-01-2024</c:v>
                </c:pt>
                <c:pt idx="2">
                  <c:v>03-01-2024</c:v>
                </c:pt>
                <c:pt idx="3">
                  <c:v>04-01-2024</c:v>
                </c:pt>
                <c:pt idx="4">
                  <c:v>05-01-2024</c:v>
                </c:pt>
                <c:pt idx="5">
                  <c:v>06-01-2024</c:v>
                </c:pt>
                <c:pt idx="6">
                  <c:v>07-01-2024</c:v>
                </c:pt>
                <c:pt idx="7">
                  <c:v>08-01-2024</c:v>
                </c:pt>
                <c:pt idx="8">
                  <c:v>09-01-2024</c:v>
                </c:pt>
                <c:pt idx="9">
                  <c:v>10-01-2024</c:v>
                </c:pt>
                <c:pt idx="10">
                  <c:v>11-01-2024</c:v>
                </c:pt>
                <c:pt idx="11">
                  <c:v>12-01-2024</c:v>
                </c:pt>
                <c:pt idx="12">
                  <c:v>13-01-2024</c:v>
                </c:pt>
                <c:pt idx="13">
                  <c:v>14-01-2024</c:v>
                </c:pt>
                <c:pt idx="14">
                  <c:v>15-01-2024</c:v>
                </c:pt>
                <c:pt idx="15">
                  <c:v>16-01-2024</c:v>
                </c:pt>
                <c:pt idx="16">
                  <c:v>17-01-2024</c:v>
                </c:pt>
                <c:pt idx="17">
                  <c:v>18-01-2024</c:v>
                </c:pt>
                <c:pt idx="18">
                  <c:v>19-01-2024</c:v>
                </c:pt>
                <c:pt idx="19">
                  <c:v>20-01-2024</c:v>
                </c:pt>
                <c:pt idx="20">
                  <c:v>21-01-2024</c:v>
                </c:pt>
                <c:pt idx="21">
                  <c:v>22-01-2024</c:v>
                </c:pt>
                <c:pt idx="22">
                  <c:v>23-01-2024</c:v>
                </c:pt>
                <c:pt idx="23">
                  <c:v>24-01-2024</c:v>
                </c:pt>
                <c:pt idx="24">
                  <c:v>25-01-2024</c:v>
                </c:pt>
                <c:pt idx="25">
                  <c:v>26-01-2024</c:v>
                </c:pt>
                <c:pt idx="26">
                  <c:v>27-01-2024</c:v>
                </c:pt>
                <c:pt idx="27">
                  <c:v>28-01-2024</c:v>
                </c:pt>
                <c:pt idx="28">
                  <c:v>29-01-2024</c:v>
                </c:pt>
                <c:pt idx="29">
                  <c:v>30-01-2024</c:v>
                </c:pt>
                <c:pt idx="30">
                  <c:v>31-01-2024</c:v>
                </c:pt>
                <c:pt idx="31">
                  <c:v>01-02-2024</c:v>
                </c:pt>
                <c:pt idx="32">
                  <c:v>02-02-2024</c:v>
                </c:pt>
                <c:pt idx="33">
                  <c:v>03-02-2024</c:v>
                </c:pt>
                <c:pt idx="34">
                  <c:v>04-02-2024</c:v>
                </c:pt>
              </c:strCache>
            </c:strRef>
          </c:cat>
          <c:val>
            <c:numRef>
              <c:f>DATA!$V$3:$V$38</c:f>
              <c:numCache>
                <c:formatCode>General</c:formatCode>
                <c:ptCount val="35"/>
                <c:pt idx="0">
                  <c:v>142.96700000000001</c:v>
                </c:pt>
                <c:pt idx="1">
                  <c:v>417.923</c:v>
                </c:pt>
                <c:pt idx="2">
                  <c:v>340.96699999999998</c:v>
                </c:pt>
                <c:pt idx="3">
                  <c:v>285.94499999999994</c:v>
                </c:pt>
                <c:pt idx="4">
                  <c:v>318.97800000000001</c:v>
                </c:pt>
                <c:pt idx="5">
                  <c:v>340.923</c:v>
                </c:pt>
                <c:pt idx="6">
                  <c:v>307.95600000000002</c:v>
                </c:pt>
                <c:pt idx="7">
                  <c:v>252.94499999999999</c:v>
                </c:pt>
                <c:pt idx="8">
                  <c:v>285.94499999999994</c:v>
                </c:pt>
                <c:pt idx="9">
                  <c:v>384.93399999999997</c:v>
                </c:pt>
                <c:pt idx="10">
                  <c:v>340.94499999999994</c:v>
                </c:pt>
                <c:pt idx="11">
                  <c:v>230.94499999999999</c:v>
                </c:pt>
                <c:pt idx="12">
                  <c:v>318.96699999999998</c:v>
                </c:pt>
                <c:pt idx="13">
                  <c:v>351.95600000000002</c:v>
                </c:pt>
                <c:pt idx="14">
                  <c:v>340.923</c:v>
                </c:pt>
                <c:pt idx="15">
                  <c:v>307.95600000000002</c:v>
                </c:pt>
                <c:pt idx="16">
                  <c:v>252.94499999999999</c:v>
                </c:pt>
                <c:pt idx="17">
                  <c:v>285.94499999999994</c:v>
                </c:pt>
                <c:pt idx="18">
                  <c:v>384.93399999999997</c:v>
                </c:pt>
                <c:pt idx="19">
                  <c:v>340.94499999999994</c:v>
                </c:pt>
                <c:pt idx="20">
                  <c:v>230.94499999999999</c:v>
                </c:pt>
                <c:pt idx="21">
                  <c:v>318.96699999999998</c:v>
                </c:pt>
                <c:pt idx="22">
                  <c:v>351.95600000000002</c:v>
                </c:pt>
                <c:pt idx="23">
                  <c:v>340.923</c:v>
                </c:pt>
                <c:pt idx="24">
                  <c:v>307.95600000000002</c:v>
                </c:pt>
                <c:pt idx="25">
                  <c:v>252.94499999999999</c:v>
                </c:pt>
                <c:pt idx="26">
                  <c:v>285.94499999999994</c:v>
                </c:pt>
                <c:pt idx="27">
                  <c:v>384.93399999999997</c:v>
                </c:pt>
                <c:pt idx="28">
                  <c:v>340.94499999999994</c:v>
                </c:pt>
                <c:pt idx="29">
                  <c:v>230.94499999999999</c:v>
                </c:pt>
                <c:pt idx="30">
                  <c:v>318.96699999999998</c:v>
                </c:pt>
                <c:pt idx="31">
                  <c:v>516.90100000000007</c:v>
                </c:pt>
                <c:pt idx="32">
                  <c:v>175.97799999999998</c:v>
                </c:pt>
                <c:pt idx="33">
                  <c:v>164.96699999999998</c:v>
                </c:pt>
                <c:pt idx="34">
                  <c:v>395.93399999999997</c:v>
                </c:pt>
              </c:numCache>
            </c:numRef>
          </c:val>
          <c:smooth val="0"/>
          <c:extLst>
            <c:ext xmlns:c16="http://schemas.microsoft.com/office/drawing/2014/chart" uri="{C3380CC4-5D6E-409C-BE32-E72D297353CC}">
              <c16:uniqueId val="{00000000-E5D0-4439-B38B-482AE44DFB46}"/>
            </c:ext>
          </c:extLst>
        </c:ser>
        <c:dLbls>
          <c:showLegendKey val="0"/>
          <c:showVal val="0"/>
          <c:showCatName val="0"/>
          <c:showSerName val="0"/>
          <c:showPercent val="0"/>
          <c:showBubbleSize val="0"/>
        </c:dLbls>
        <c:marker val="1"/>
        <c:smooth val="0"/>
        <c:axId val="341781232"/>
        <c:axId val="341781712"/>
      </c:lineChart>
      <c:catAx>
        <c:axId val="34178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781712"/>
        <c:crosses val="autoZero"/>
        <c:auto val="1"/>
        <c:lblAlgn val="ctr"/>
        <c:lblOffset val="100"/>
        <c:noMultiLvlLbl val="0"/>
      </c:catAx>
      <c:valAx>
        <c:axId val="3417817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781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[Supermarket-Sales-Sample-Data.xlsm]DATA!PivotTable15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DATA!$AN$31</c:f>
              <c:strCache>
                <c:ptCount val="1"/>
                <c:pt idx="0">
                  <c:v>Total</c:v>
                </c:pt>
              </c:strCache>
            </c:strRef>
          </c:tx>
          <c:spPr>
            <a:solidFill>
              <a:schemeClr val="accent1"/>
            </a:solidFill>
            <a:ln>
              <a:noFill/>
            </a:ln>
            <a:effectLst/>
          </c:spPr>
          <c:invertIfNegative val="0"/>
          <c:cat>
            <c:strRef>
              <c:f>DATA!$AM$32:$AM$34</c:f>
              <c:strCache>
                <c:ptCount val="2"/>
                <c:pt idx="0">
                  <c:v>Jan</c:v>
                </c:pt>
                <c:pt idx="1">
                  <c:v>Feb</c:v>
                </c:pt>
              </c:strCache>
            </c:strRef>
          </c:cat>
          <c:val>
            <c:numRef>
              <c:f>DATA!$AN$32:$AN$34</c:f>
              <c:numCache>
                <c:formatCode>General</c:formatCode>
                <c:ptCount val="2"/>
                <c:pt idx="0">
                  <c:v>9601.3719999999921</c:v>
                </c:pt>
                <c:pt idx="1">
                  <c:v>1253.78</c:v>
                </c:pt>
              </c:numCache>
            </c:numRef>
          </c:val>
          <c:extLst>
            <c:ext xmlns:c16="http://schemas.microsoft.com/office/drawing/2014/chart" uri="{C3380CC4-5D6E-409C-BE32-E72D297353CC}">
              <c16:uniqueId val="{00000000-A027-475E-8E26-7634F382D675}"/>
            </c:ext>
          </c:extLst>
        </c:ser>
        <c:dLbls>
          <c:showLegendKey val="0"/>
          <c:showVal val="0"/>
          <c:showCatName val="0"/>
          <c:showSerName val="0"/>
          <c:showPercent val="0"/>
          <c:showBubbleSize val="0"/>
        </c:dLbls>
        <c:gapWidth val="219"/>
        <c:axId val="318586992"/>
        <c:axId val="318589392"/>
      </c:barChart>
      <c:catAx>
        <c:axId val="3185869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8589392"/>
        <c:crosses val="autoZero"/>
        <c:auto val="1"/>
        <c:lblAlgn val="ctr"/>
        <c:lblOffset val="100"/>
        <c:noMultiLvlLbl val="0"/>
      </c:catAx>
      <c:valAx>
        <c:axId val="318589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8586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[Supermarket-Sales-Sample-Data.xlsm]DATA!PivotTable7</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rPr>
              <a:t>Quantity</a:t>
            </a:r>
            <a:r>
              <a:rPr lang="en-US" sz="1600" b="1" baseline="0">
                <a:solidFill>
                  <a:schemeClr val="tx1"/>
                </a:solidFill>
              </a:rPr>
              <a:t> Sold</a:t>
            </a:r>
            <a:endParaRPr lang="en-US" sz="1600"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DATA!$M$32</c:f>
              <c:strCache>
                <c:ptCount val="1"/>
                <c:pt idx="0">
                  <c:v>Total</c:v>
                </c:pt>
              </c:strCache>
            </c:strRef>
          </c:tx>
          <c:spPr>
            <a:solidFill>
              <a:schemeClr val="accent1"/>
            </a:solidFill>
            <a:ln>
              <a:noFill/>
            </a:ln>
            <a:effectLst/>
          </c:spPr>
          <c:invertIfNegative val="0"/>
          <c:cat>
            <c:strRef>
              <c:f>DATA!$L$33:$L$84</c:f>
              <c:strCache>
                <c:ptCount val="51"/>
                <c:pt idx="0">
                  <c:v>Amanda Martinez</c:v>
                </c:pt>
                <c:pt idx="1">
                  <c:v>Amy Hernandez</c:v>
                </c:pt>
                <c:pt idx="2">
                  <c:v>Christopher Rodriguez</c:v>
                </c:pt>
                <c:pt idx="3">
                  <c:v>Christopher Thomas</c:v>
                </c:pt>
                <c:pt idx="4">
                  <c:v>Daniel Brown</c:v>
                </c:pt>
                <c:pt idx="5">
                  <c:v>Daniel Davis</c:v>
                </c:pt>
                <c:pt idx="6">
                  <c:v>Daniel Hernandez</c:v>
                </c:pt>
                <c:pt idx="7">
                  <c:v>Daniel Martinez</c:v>
                </c:pt>
                <c:pt idx="8">
                  <c:v>Daniel Smith</c:v>
                </c:pt>
                <c:pt idx="9">
                  <c:v>Daniel Wilson</c:v>
                </c:pt>
                <c:pt idx="10">
                  <c:v>David Brown</c:v>
                </c:pt>
                <c:pt idx="11">
                  <c:v>David Martinez</c:v>
                </c:pt>
                <c:pt idx="12">
                  <c:v>David Rodriguez</c:v>
                </c:pt>
                <c:pt idx="13">
                  <c:v>David Wilson</c:v>
                </c:pt>
                <c:pt idx="14">
                  <c:v>Emily Brown</c:v>
                </c:pt>
                <c:pt idx="15">
                  <c:v>Emily Davis</c:v>
                </c:pt>
                <c:pt idx="16">
                  <c:v>Emily Johnson</c:v>
                </c:pt>
                <c:pt idx="17">
                  <c:v>Emily Rodriguez</c:v>
                </c:pt>
                <c:pt idx="18">
                  <c:v>James Johnson</c:v>
                </c:pt>
                <c:pt idx="19">
                  <c:v>Jane Doe</c:v>
                </c:pt>
                <c:pt idx="20">
                  <c:v>Jennifer Davis</c:v>
                </c:pt>
                <c:pt idx="21">
                  <c:v>Jennifer Hernandez</c:v>
                </c:pt>
                <c:pt idx="22">
                  <c:v>Jennifer Martinez</c:v>
                </c:pt>
                <c:pt idx="23">
                  <c:v>Jennifer Smith</c:v>
                </c:pt>
                <c:pt idx="24">
                  <c:v>Jessica Gonzalez</c:v>
                </c:pt>
                <c:pt idx="25">
                  <c:v>Jessica Johnson</c:v>
                </c:pt>
                <c:pt idx="26">
                  <c:v>Jessica Martinez</c:v>
                </c:pt>
                <c:pt idx="27">
                  <c:v>Jessica Smith</c:v>
                </c:pt>
                <c:pt idx="28">
                  <c:v>Jessica Wilson</c:v>
                </c:pt>
                <c:pt idx="29">
                  <c:v>John Smith</c:v>
                </c:pt>
                <c:pt idx="30">
                  <c:v>Kimberly Garcia</c:v>
                </c:pt>
                <c:pt idx="31">
                  <c:v>Laura Brown</c:v>
                </c:pt>
                <c:pt idx="32">
                  <c:v>Lisa Taylor</c:v>
                </c:pt>
                <c:pt idx="33">
                  <c:v>Matthew Garcia</c:v>
                </c:pt>
                <c:pt idx="34">
                  <c:v>Matthew Hernandez</c:v>
                </c:pt>
                <c:pt idx="35">
                  <c:v>Matthew Johnson</c:v>
                </c:pt>
                <c:pt idx="36">
                  <c:v>Matthew Smith</c:v>
                </c:pt>
                <c:pt idx="37">
                  <c:v>Matthew Wilson</c:v>
                </c:pt>
                <c:pt idx="38">
                  <c:v>Melissa Lopez</c:v>
                </c:pt>
                <c:pt idx="39">
                  <c:v>Michael Davis</c:v>
                </c:pt>
                <c:pt idx="40">
                  <c:v>Michael Garcia</c:v>
                </c:pt>
                <c:pt idx="41">
                  <c:v>Michael Johnson</c:v>
                </c:pt>
                <c:pt idx="42">
                  <c:v>Michael Martinez</c:v>
                </c:pt>
                <c:pt idx="43">
                  <c:v>Michael Smith</c:v>
                </c:pt>
                <c:pt idx="44">
                  <c:v>Richard Perez</c:v>
                </c:pt>
                <c:pt idx="45">
                  <c:v>Sarah Anderson</c:v>
                </c:pt>
                <c:pt idx="46">
                  <c:v>Sarah Garcia</c:v>
                </c:pt>
                <c:pt idx="47">
                  <c:v>Sarah Gonzalez</c:v>
                </c:pt>
                <c:pt idx="48">
                  <c:v>Sarah Johnson</c:v>
                </c:pt>
                <c:pt idx="49">
                  <c:v>Sarah Smith</c:v>
                </c:pt>
                <c:pt idx="50">
                  <c:v>William Hernandez</c:v>
                </c:pt>
              </c:strCache>
            </c:strRef>
          </c:cat>
          <c:val>
            <c:numRef>
              <c:f>DATA!$M$33:$M$84</c:f>
              <c:numCache>
                <c:formatCode>General</c:formatCode>
                <c:ptCount val="51"/>
                <c:pt idx="0">
                  <c:v>1</c:v>
                </c:pt>
                <c:pt idx="1">
                  <c:v>3</c:v>
                </c:pt>
                <c:pt idx="2">
                  <c:v>1</c:v>
                </c:pt>
                <c:pt idx="3">
                  <c:v>1</c:v>
                </c:pt>
                <c:pt idx="4">
                  <c:v>6</c:v>
                </c:pt>
                <c:pt idx="5">
                  <c:v>1</c:v>
                </c:pt>
                <c:pt idx="6">
                  <c:v>4</c:v>
                </c:pt>
                <c:pt idx="7">
                  <c:v>3</c:v>
                </c:pt>
                <c:pt idx="8">
                  <c:v>1</c:v>
                </c:pt>
                <c:pt idx="9">
                  <c:v>5</c:v>
                </c:pt>
                <c:pt idx="10">
                  <c:v>4</c:v>
                </c:pt>
                <c:pt idx="11">
                  <c:v>2</c:v>
                </c:pt>
                <c:pt idx="12">
                  <c:v>8</c:v>
                </c:pt>
                <c:pt idx="13">
                  <c:v>3</c:v>
                </c:pt>
                <c:pt idx="14">
                  <c:v>10</c:v>
                </c:pt>
                <c:pt idx="15">
                  <c:v>1</c:v>
                </c:pt>
                <c:pt idx="16">
                  <c:v>2</c:v>
                </c:pt>
                <c:pt idx="17">
                  <c:v>3</c:v>
                </c:pt>
                <c:pt idx="18">
                  <c:v>2</c:v>
                </c:pt>
                <c:pt idx="19">
                  <c:v>1</c:v>
                </c:pt>
                <c:pt idx="20">
                  <c:v>8</c:v>
                </c:pt>
                <c:pt idx="21">
                  <c:v>4</c:v>
                </c:pt>
                <c:pt idx="22">
                  <c:v>2</c:v>
                </c:pt>
                <c:pt idx="23">
                  <c:v>5</c:v>
                </c:pt>
                <c:pt idx="24">
                  <c:v>1</c:v>
                </c:pt>
                <c:pt idx="25">
                  <c:v>1</c:v>
                </c:pt>
                <c:pt idx="26">
                  <c:v>7</c:v>
                </c:pt>
                <c:pt idx="27">
                  <c:v>5</c:v>
                </c:pt>
                <c:pt idx="28">
                  <c:v>3</c:v>
                </c:pt>
                <c:pt idx="29">
                  <c:v>2</c:v>
                </c:pt>
                <c:pt idx="30">
                  <c:v>1</c:v>
                </c:pt>
                <c:pt idx="31">
                  <c:v>3</c:v>
                </c:pt>
                <c:pt idx="32">
                  <c:v>2</c:v>
                </c:pt>
                <c:pt idx="33">
                  <c:v>2</c:v>
                </c:pt>
                <c:pt idx="34">
                  <c:v>2</c:v>
                </c:pt>
                <c:pt idx="35">
                  <c:v>3</c:v>
                </c:pt>
                <c:pt idx="36">
                  <c:v>7</c:v>
                </c:pt>
                <c:pt idx="37">
                  <c:v>4</c:v>
                </c:pt>
                <c:pt idx="38">
                  <c:v>2</c:v>
                </c:pt>
                <c:pt idx="39">
                  <c:v>1</c:v>
                </c:pt>
                <c:pt idx="40">
                  <c:v>2</c:v>
                </c:pt>
                <c:pt idx="41">
                  <c:v>5</c:v>
                </c:pt>
                <c:pt idx="42">
                  <c:v>8</c:v>
                </c:pt>
                <c:pt idx="43">
                  <c:v>3</c:v>
                </c:pt>
                <c:pt idx="44">
                  <c:v>3</c:v>
                </c:pt>
                <c:pt idx="45">
                  <c:v>2</c:v>
                </c:pt>
                <c:pt idx="46">
                  <c:v>1</c:v>
                </c:pt>
                <c:pt idx="47">
                  <c:v>3</c:v>
                </c:pt>
                <c:pt idx="48">
                  <c:v>7</c:v>
                </c:pt>
                <c:pt idx="49">
                  <c:v>2</c:v>
                </c:pt>
                <c:pt idx="50">
                  <c:v>5</c:v>
                </c:pt>
              </c:numCache>
            </c:numRef>
          </c:val>
          <c:extLst>
            <c:ext xmlns:c16="http://schemas.microsoft.com/office/drawing/2014/chart" uri="{C3380CC4-5D6E-409C-BE32-E72D297353CC}">
              <c16:uniqueId val="{00000000-A557-4D8D-8A6E-64B23A73B58D}"/>
            </c:ext>
          </c:extLst>
        </c:ser>
        <c:dLbls>
          <c:showLegendKey val="0"/>
          <c:showVal val="0"/>
          <c:showCatName val="0"/>
          <c:showSerName val="0"/>
          <c:showPercent val="0"/>
          <c:showBubbleSize val="0"/>
        </c:dLbls>
        <c:gapWidth val="219"/>
        <c:overlap val="-27"/>
        <c:axId val="340667120"/>
        <c:axId val="340590672"/>
      </c:barChart>
      <c:catAx>
        <c:axId val="340667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590672"/>
        <c:crosses val="autoZero"/>
        <c:auto val="1"/>
        <c:lblAlgn val="ctr"/>
        <c:lblOffset val="100"/>
        <c:noMultiLvlLbl val="0"/>
      </c:catAx>
      <c:valAx>
        <c:axId val="3405906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667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[Supermarket-Sales-Sample-Data.xlsm]DATA!PivotTable6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chemeClr val="tx1"/>
                </a:solidFill>
              </a:rPr>
              <a:t>Top</a:t>
            </a:r>
            <a:r>
              <a:rPr lang="en-US" sz="2000" b="1" baseline="0">
                <a:solidFill>
                  <a:schemeClr val="tx1"/>
                </a:solidFill>
              </a:rPr>
              <a:t>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24688958532808"/>
          <c:y val="0.12832105794948437"/>
          <c:w val="0.78700521019121883"/>
          <c:h val="0.46267163127524374"/>
        </c:manualLayout>
      </c:layout>
      <c:barChart>
        <c:barDir val="col"/>
        <c:grouping val="clustered"/>
        <c:varyColors val="0"/>
        <c:ser>
          <c:idx val="0"/>
          <c:order val="0"/>
          <c:tx>
            <c:strRef>
              <c:f>DATA!$J$5</c:f>
              <c:strCache>
                <c:ptCount val="1"/>
                <c:pt idx="0">
                  <c:v>Total</c:v>
                </c:pt>
              </c:strCache>
            </c:strRef>
          </c:tx>
          <c:spPr>
            <a:solidFill>
              <a:schemeClr val="accent6"/>
            </a:solidFill>
            <a:ln>
              <a:noFill/>
            </a:ln>
            <a:effectLst/>
          </c:spPr>
          <c:invertIfNegative val="0"/>
          <c:cat>
            <c:strRef>
              <c:f>DATA!$I$6:$I$57</c:f>
              <c:strCache>
                <c:ptCount val="51"/>
                <c:pt idx="0">
                  <c:v>William Hernandez</c:v>
                </c:pt>
                <c:pt idx="1">
                  <c:v>Sarah Smith</c:v>
                </c:pt>
                <c:pt idx="2">
                  <c:v>Sarah Johnson</c:v>
                </c:pt>
                <c:pt idx="3">
                  <c:v>Sarah Gonzalez</c:v>
                </c:pt>
                <c:pt idx="4">
                  <c:v>Sarah Garcia</c:v>
                </c:pt>
                <c:pt idx="5">
                  <c:v>Sarah Anderson</c:v>
                </c:pt>
                <c:pt idx="6">
                  <c:v>Richard Perez</c:v>
                </c:pt>
                <c:pt idx="7">
                  <c:v>Michael Smith</c:v>
                </c:pt>
                <c:pt idx="8">
                  <c:v>Michael Martinez</c:v>
                </c:pt>
                <c:pt idx="9">
                  <c:v>Michael Johnson</c:v>
                </c:pt>
                <c:pt idx="10">
                  <c:v>Michael Garcia</c:v>
                </c:pt>
                <c:pt idx="11">
                  <c:v>Michael Davis</c:v>
                </c:pt>
                <c:pt idx="12">
                  <c:v>Melissa Lopez</c:v>
                </c:pt>
                <c:pt idx="13">
                  <c:v>Matthew Wilson</c:v>
                </c:pt>
                <c:pt idx="14">
                  <c:v>Matthew Smith</c:v>
                </c:pt>
                <c:pt idx="15">
                  <c:v>Matthew Johnson</c:v>
                </c:pt>
                <c:pt idx="16">
                  <c:v>Matthew Hernandez</c:v>
                </c:pt>
                <c:pt idx="17">
                  <c:v>Matthew Garcia</c:v>
                </c:pt>
                <c:pt idx="18">
                  <c:v>Lisa Taylor</c:v>
                </c:pt>
                <c:pt idx="19">
                  <c:v>Laura Brown</c:v>
                </c:pt>
                <c:pt idx="20">
                  <c:v>Kimberly Garcia</c:v>
                </c:pt>
                <c:pt idx="21">
                  <c:v>John Smith</c:v>
                </c:pt>
                <c:pt idx="22">
                  <c:v>Jessica Wilson</c:v>
                </c:pt>
                <c:pt idx="23">
                  <c:v>Jessica Smith</c:v>
                </c:pt>
                <c:pt idx="24">
                  <c:v>Jessica Martinez</c:v>
                </c:pt>
                <c:pt idx="25">
                  <c:v>Jessica Johnson</c:v>
                </c:pt>
                <c:pt idx="26">
                  <c:v>Jessica Gonzalez</c:v>
                </c:pt>
                <c:pt idx="27">
                  <c:v>Jennifer Smith</c:v>
                </c:pt>
                <c:pt idx="28">
                  <c:v>Jennifer Martinez</c:v>
                </c:pt>
                <c:pt idx="29">
                  <c:v>Jennifer Hernandez</c:v>
                </c:pt>
                <c:pt idx="30">
                  <c:v>Jennifer Davis</c:v>
                </c:pt>
                <c:pt idx="31">
                  <c:v>Jane Doe</c:v>
                </c:pt>
                <c:pt idx="32">
                  <c:v>James Johnson</c:v>
                </c:pt>
                <c:pt idx="33">
                  <c:v>Emily Rodriguez</c:v>
                </c:pt>
                <c:pt idx="34">
                  <c:v>Emily Johnson</c:v>
                </c:pt>
                <c:pt idx="35">
                  <c:v>Emily Davis</c:v>
                </c:pt>
                <c:pt idx="36">
                  <c:v>Emily Brown</c:v>
                </c:pt>
                <c:pt idx="37">
                  <c:v>David Wilson</c:v>
                </c:pt>
                <c:pt idx="38">
                  <c:v>David Rodriguez</c:v>
                </c:pt>
                <c:pt idx="39">
                  <c:v>David Martinez</c:v>
                </c:pt>
                <c:pt idx="40">
                  <c:v>David Brown</c:v>
                </c:pt>
                <c:pt idx="41">
                  <c:v>Daniel Wilson</c:v>
                </c:pt>
                <c:pt idx="42">
                  <c:v>Daniel Smith</c:v>
                </c:pt>
                <c:pt idx="43">
                  <c:v>Daniel Martinez</c:v>
                </c:pt>
                <c:pt idx="44">
                  <c:v>Daniel Hernandez</c:v>
                </c:pt>
                <c:pt idx="45">
                  <c:v>Daniel Davis</c:v>
                </c:pt>
                <c:pt idx="46">
                  <c:v>Daniel Brown</c:v>
                </c:pt>
                <c:pt idx="47">
                  <c:v>Christopher Thomas</c:v>
                </c:pt>
                <c:pt idx="48">
                  <c:v>Christopher Rodriguez</c:v>
                </c:pt>
                <c:pt idx="49">
                  <c:v>Amy Hernandez</c:v>
                </c:pt>
                <c:pt idx="50">
                  <c:v>Amanda Martinez</c:v>
                </c:pt>
              </c:strCache>
            </c:strRef>
          </c:cat>
          <c:val>
            <c:numRef>
              <c:f>DATA!$J$6:$J$57</c:f>
              <c:numCache>
                <c:formatCode>General</c:formatCode>
                <c:ptCount val="51"/>
                <c:pt idx="0">
                  <c:v>164.94499999999999</c:v>
                </c:pt>
                <c:pt idx="1">
                  <c:v>153.97799999999998</c:v>
                </c:pt>
                <c:pt idx="2">
                  <c:v>252.92299999999997</c:v>
                </c:pt>
                <c:pt idx="3">
                  <c:v>318.96699999999998</c:v>
                </c:pt>
                <c:pt idx="4">
                  <c:v>164.989</c:v>
                </c:pt>
                <c:pt idx="5">
                  <c:v>153.97799999999998</c:v>
                </c:pt>
                <c:pt idx="6">
                  <c:v>164.96699999999998</c:v>
                </c:pt>
                <c:pt idx="7">
                  <c:v>164.96699999999998</c:v>
                </c:pt>
                <c:pt idx="8">
                  <c:v>296.91199999999998</c:v>
                </c:pt>
                <c:pt idx="9">
                  <c:v>505.94499999999994</c:v>
                </c:pt>
                <c:pt idx="10">
                  <c:v>175.97799999999998</c:v>
                </c:pt>
                <c:pt idx="11">
                  <c:v>219.989</c:v>
                </c:pt>
                <c:pt idx="12">
                  <c:v>175.97799999999998</c:v>
                </c:pt>
                <c:pt idx="13">
                  <c:v>87.955999999999989</c:v>
                </c:pt>
                <c:pt idx="14">
                  <c:v>252.92299999999997</c:v>
                </c:pt>
                <c:pt idx="15">
                  <c:v>131.96699999999998</c:v>
                </c:pt>
                <c:pt idx="16">
                  <c:v>153.97799999999998</c:v>
                </c:pt>
                <c:pt idx="17">
                  <c:v>307.97800000000001</c:v>
                </c:pt>
                <c:pt idx="18">
                  <c:v>175.97799999999998</c:v>
                </c:pt>
                <c:pt idx="19">
                  <c:v>131.96699999999998</c:v>
                </c:pt>
                <c:pt idx="20">
                  <c:v>219.989</c:v>
                </c:pt>
                <c:pt idx="21">
                  <c:v>109.97800000000001</c:v>
                </c:pt>
                <c:pt idx="22">
                  <c:v>395.96699999999998</c:v>
                </c:pt>
                <c:pt idx="23">
                  <c:v>164.94499999999999</c:v>
                </c:pt>
                <c:pt idx="24">
                  <c:v>252.92299999999997</c:v>
                </c:pt>
                <c:pt idx="25">
                  <c:v>142.989</c:v>
                </c:pt>
                <c:pt idx="26">
                  <c:v>142.989</c:v>
                </c:pt>
                <c:pt idx="27">
                  <c:v>164.94499999999999</c:v>
                </c:pt>
                <c:pt idx="28">
                  <c:v>175.97799999999998</c:v>
                </c:pt>
                <c:pt idx="29">
                  <c:v>296.95600000000002</c:v>
                </c:pt>
                <c:pt idx="30">
                  <c:v>538.91199999999992</c:v>
                </c:pt>
                <c:pt idx="31">
                  <c:v>32.988999999999997</c:v>
                </c:pt>
                <c:pt idx="32">
                  <c:v>153.97799999999998</c:v>
                </c:pt>
                <c:pt idx="33">
                  <c:v>131.96699999999998</c:v>
                </c:pt>
                <c:pt idx="34">
                  <c:v>307.97800000000001</c:v>
                </c:pt>
                <c:pt idx="35">
                  <c:v>219.989</c:v>
                </c:pt>
                <c:pt idx="36">
                  <c:v>329.89</c:v>
                </c:pt>
                <c:pt idx="37">
                  <c:v>472.96699999999998</c:v>
                </c:pt>
                <c:pt idx="38">
                  <c:v>329.91199999999998</c:v>
                </c:pt>
                <c:pt idx="39">
                  <c:v>175.97799999999998</c:v>
                </c:pt>
                <c:pt idx="40">
                  <c:v>87.955999999999989</c:v>
                </c:pt>
                <c:pt idx="41">
                  <c:v>164.94499999999999</c:v>
                </c:pt>
                <c:pt idx="42">
                  <c:v>219.989</c:v>
                </c:pt>
                <c:pt idx="43">
                  <c:v>131.96699999999998</c:v>
                </c:pt>
                <c:pt idx="44">
                  <c:v>296.95600000000002</c:v>
                </c:pt>
                <c:pt idx="45">
                  <c:v>219.989</c:v>
                </c:pt>
                <c:pt idx="46">
                  <c:v>241.93399999999997</c:v>
                </c:pt>
                <c:pt idx="47">
                  <c:v>98.98899999999999</c:v>
                </c:pt>
                <c:pt idx="48">
                  <c:v>142.989</c:v>
                </c:pt>
                <c:pt idx="49">
                  <c:v>164.96699999999998</c:v>
                </c:pt>
                <c:pt idx="50">
                  <c:v>164.989</c:v>
                </c:pt>
              </c:numCache>
            </c:numRef>
          </c:val>
          <c:extLst>
            <c:ext xmlns:c16="http://schemas.microsoft.com/office/drawing/2014/chart" uri="{C3380CC4-5D6E-409C-BE32-E72D297353CC}">
              <c16:uniqueId val="{00000000-5CAD-4BDB-B526-8FC650986EE0}"/>
            </c:ext>
          </c:extLst>
        </c:ser>
        <c:dLbls>
          <c:showLegendKey val="0"/>
          <c:showVal val="0"/>
          <c:showCatName val="0"/>
          <c:showSerName val="0"/>
          <c:showPercent val="0"/>
          <c:showBubbleSize val="0"/>
        </c:dLbls>
        <c:gapWidth val="219"/>
        <c:overlap val="-27"/>
        <c:axId val="2070509568"/>
        <c:axId val="2070501408"/>
      </c:barChart>
      <c:catAx>
        <c:axId val="2070509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501408"/>
        <c:crosses val="autoZero"/>
        <c:auto val="1"/>
        <c:lblAlgn val="ctr"/>
        <c:lblOffset val="100"/>
        <c:noMultiLvlLbl val="0"/>
      </c:catAx>
      <c:valAx>
        <c:axId val="20705014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509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[Supermarket-Sales-Sample-Data.xlsm]DATA!PivotTable10</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a:solidFill>
                  <a:schemeClr val="tx1"/>
                </a:solidFill>
              </a:rPr>
              <a:t>Sales</a:t>
            </a:r>
            <a:r>
              <a:rPr lang="en-US" sz="2400" b="1" baseline="0">
                <a:solidFill>
                  <a:schemeClr val="tx1"/>
                </a:solidFill>
              </a:rPr>
              <a:t> Trend By Order Date</a:t>
            </a:r>
            <a:endParaRPr lang="en-US" sz="2400" b="1">
              <a:solidFill>
                <a:schemeClr val="tx1"/>
              </a:solidFill>
            </a:endParaRPr>
          </a:p>
        </c:rich>
      </c:tx>
      <c:layout>
        <c:manualLayout>
          <c:xMode val="edge"/>
          <c:yMode val="edge"/>
          <c:x val="0.34104637394372855"/>
          <c:y val="6.197492114057278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490009781987583E-2"/>
          <c:y val="0.12638207336851887"/>
          <c:w val="0.88352713290912432"/>
          <c:h val="0.6476329940464759"/>
        </c:manualLayout>
      </c:layout>
      <c:lineChart>
        <c:grouping val="standard"/>
        <c:varyColors val="0"/>
        <c:ser>
          <c:idx val="0"/>
          <c:order val="0"/>
          <c:tx>
            <c:strRef>
              <c:f>DATA!$V$2</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DATA!$U$3:$U$38</c:f>
              <c:strCache>
                <c:ptCount val="35"/>
                <c:pt idx="0">
                  <c:v>01-01-2024</c:v>
                </c:pt>
                <c:pt idx="1">
                  <c:v>02-01-2024</c:v>
                </c:pt>
                <c:pt idx="2">
                  <c:v>03-01-2024</c:v>
                </c:pt>
                <c:pt idx="3">
                  <c:v>04-01-2024</c:v>
                </c:pt>
                <c:pt idx="4">
                  <c:v>05-01-2024</c:v>
                </c:pt>
                <c:pt idx="5">
                  <c:v>06-01-2024</c:v>
                </c:pt>
                <c:pt idx="6">
                  <c:v>07-01-2024</c:v>
                </c:pt>
                <c:pt idx="7">
                  <c:v>08-01-2024</c:v>
                </c:pt>
                <c:pt idx="8">
                  <c:v>09-01-2024</c:v>
                </c:pt>
                <c:pt idx="9">
                  <c:v>10-01-2024</c:v>
                </c:pt>
                <c:pt idx="10">
                  <c:v>11-01-2024</c:v>
                </c:pt>
                <c:pt idx="11">
                  <c:v>12-01-2024</c:v>
                </c:pt>
                <c:pt idx="12">
                  <c:v>13-01-2024</c:v>
                </c:pt>
                <c:pt idx="13">
                  <c:v>14-01-2024</c:v>
                </c:pt>
                <c:pt idx="14">
                  <c:v>15-01-2024</c:v>
                </c:pt>
                <c:pt idx="15">
                  <c:v>16-01-2024</c:v>
                </c:pt>
                <c:pt idx="16">
                  <c:v>17-01-2024</c:v>
                </c:pt>
                <c:pt idx="17">
                  <c:v>18-01-2024</c:v>
                </c:pt>
                <c:pt idx="18">
                  <c:v>19-01-2024</c:v>
                </c:pt>
                <c:pt idx="19">
                  <c:v>20-01-2024</c:v>
                </c:pt>
                <c:pt idx="20">
                  <c:v>21-01-2024</c:v>
                </c:pt>
                <c:pt idx="21">
                  <c:v>22-01-2024</c:v>
                </c:pt>
                <c:pt idx="22">
                  <c:v>23-01-2024</c:v>
                </c:pt>
                <c:pt idx="23">
                  <c:v>24-01-2024</c:v>
                </c:pt>
                <c:pt idx="24">
                  <c:v>25-01-2024</c:v>
                </c:pt>
                <c:pt idx="25">
                  <c:v>26-01-2024</c:v>
                </c:pt>
                <c:pt idx="26">
                  <c:v>27-01-2024</c:v>
                </c:pt>
                <c:pt idx="27">
                  <c:v>28-01-2024</c:v>
                </c:pt>
                <c:pt idx="28">
                  <c:v>29-01-2024</c:v>
                </c:pt>
                <c:pt idx="29">
                  <c:v>30-01-2024</c:v>
                </c:pt>
                <c:pt idx="30">
                  <c:v>31-01-2024</c:v>
                </c:pt>
                <c:pt idx="31">
                  <c:v>01-02-2024</c:v>
                </c:pt>
                <c:pt idx="32">
                  <c:v>02-02-2024</c:v>
                </c:pt>
                <c:pt idx="33">
                  <c:v>03-02-2024</c:v>
                </c:pt>
                <c:pt idx="34">
                  <c:v>04-02-2024</c:v>
                </c:pt>
              </c:strCache>
            </c:strRef>
          </c:cat>
          <c:val>
            <c:numRef>
              <c:f>DATA!$V$3:$V$38</c:f>
              <c:numCache>
                <c:formatCode>General</c:formatCode>
                <c:ptCount val="35"/>
                <c:pt idx="0">
                  <c:v>142.96700000000001</c:v>
                </c:pt>
                <c:pt idx="1">
                  <c:v>417.923</c:v>
                </c:pt>
                <c:pt idx="2">
                  <c:v>340.96699999999998</c:v>
                </c:pt>
                <c:pt idx="3">
                  <c:v>285.94499999999994</c:v>
                </c:pt>
                <c:pt idx="4">
                  <c:v>318.97800000000001</c:v>
                </c:pt>
                <c:pt idx="5">
                  <c:v>340.923</c:v>
                </c:pt>
                <c:pt idx="6">
                  <c:v>307.95600000000002</c:v>
                </c:pt>
                <c:pt idx="7">
                  <c:v>252.94499999999999</c:v>
                </c:pt>
                <c:pt idx="8">
                  <c:v>285.94499999999994</c:v>
                </c:pt>
                <c:pt idx="9">
                  <c:v>384.93399999999997</c:v>
                </c:pt>
                <c:pt idx="10">
                  <c:v>340.94499999999994</c:v>
                </c:pt>
                <c:pt idx="11">
                  <c:v>230.94499999999999</c:v>
                </c:pt>
                <c:pt idx="12">
                  <c:v>318.96699999999998</c:v>
                </c:pt>
                <c:pt idx="13">
                  <c:v>351.95600000000002</c:v>
                </c:pt>
                <c:pt idx="14">
                  <c:v>340.923</c:v>
                </c:pt>
                <c:pt idx="15">
                  <c:v>307.95600000000002</c:v>
                </c:pt>
                <c:pt idx="16">
                  <c:v>252.94499999999999</c:v>
                </c:pt>
                <c:pt idx="17">
                  <c:v>285.94499999999994</c:v>
                </c:pt>
                <c:pt idx="18">
                  <c:v>384.93399999999997</c:v>
                </c:pt>
                <c:pt idx="19">
                  <c:v>340.94499999999994</c:v>
                </c:pt>
                <c:pt idx="20">
                  <c:v>230.94499999999999</c:v>
                </c:pt>
                <c:pt idx="21">
                  <c:v>318.96699999999998</c:v>
                </c:pt>
                <c:pt idx="22">
                  <c:v>351.95600000000002</c:v>
                </c:pt>
                <c:pt idx="23">
                  <c:v>340.923</c:v>
                </c:pt>
                <c:pt idx="24">
                  <c:v>307.95600000000002</c:v>
                </c:pt>
                <c:pt idx="25">
                  <c:v>252.94499999999999</c:v>
                </c:pt>
                <c:pt idx="26">
                  <c:v>285.94499999999994</c:v>
                </c:pt>
                <c:pt idx="27">
                  <c:v>384.93399999999997</c:v>
                </c:pt>
                <c:pt idx="28">
                  <c:v>340.94499999999994</c:v>
                </c:pt>
                <c:pt idx="29">
                  <c:v>230.94499999999999</c:v>
                </c:pt>
                <c:pt idx="30">
                  <c:v>318.96699999999998</c:v>
                </c:pt>
                <c:pt idx="31">
                  <c:v>516.90100000000007</c:v>
                </c:pt>
                <c:pt idx="32">
                  <c:v>175.97799999999998</c:v>
                </c:pt>
                <c:pt idx="33">
                  <c:v>164.96699999999998</c:v>
                </c:pt>
                <c:pt idx="34">
                  <c:v>395.93399999999997</c:v>
                </c:pt>
              </c:numCache>
            </c:numRef>
          </c:val>
          <c:smooth val="0"/>
          <c:extLst>
            <c:ext xmlns:c16="http://schemas.microsoft.com/office/drawing/2014/chart" uri="{C3380CC4-5D6E-409C-BE32-E72D297353CC}">
              <c16:uniqueId val="{00000000-B4A5-4D8A-8CDE-89A9410305D0}"/>
            </c:ext>
          </c:extLst>
        </c:ser>
        <c:dLbls>
          <c:showLegendKey val="0"/>
          <c:showVal val="0"/>
          <c:showCatName val="0"/>
          <c:showSerName val="0"/>
          <c:showPercent val="0"/>
          <c:showBubbleSize val="0"/>
        </c:dLbls>
        <c:marker val="1"/>
        <c:smooth val="0"/>
        <c:axId val="341781232"/>
        <c:axId val="341781712"/>
      </c:lineChart>
      <c:catAx>
        <c:axId val="34178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781712"/>
        <c:crosses val="autoZero"/>
        <c:auto val="1"/>
        <c:lblAlgn val="ctr"/>
        <c:lblOffset val="100"/>
        <c:noMultiLvlLbl val="0"/>
      </c:catAx>
      <c:valAx>
        <c:axId val="3417817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781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lgn="ctr">
              <a:defRPr sz="1600" b="1" i="0" u="none" strike="noStrike" kern="1200" baseline="0">
                <a:solidFill>
                  <a:schemeClr val="tx1">
                    <a:lumMod val="65000"/>
                    <a:lumOff val="35000"/>
                  </a:schemeClr>
                </a:solidFill>
                <a:latin typeface="+mn-lt"/>
                <a:ea typeface="+mn-ea"/>
                <a:cs typeface="+mn-cs"/>
              </a:defRPr>
            </a:pPr>
            <a:r>
              <a:rPr lang="en-US" sz="2400"/>
              <a:t>Monthly Sales</a:t>
            </a:r>
          </a:p>
        </c:rich>
      </c:tx>
      <c:layout>
        <c:manualLayout>
          <c:xMode val="edge"/>
          <c:yMode val="edge"/>
          <c:x val="0.39153739133752929"/>
          <c:y val="8.9138341067624652E-2"/>
        </c:manualLayout>
      </c:layout>
      <c:overlay val="0"/>
      <c:spPr>
        <a:noFill/>
        <a:ln>
          <a:noFill/>
        </a:ln>
        <a:effectLst/>
      </c:spPr>
      <c:txPr>
        <a:bodyPr rot="0" spcFirstLastPara="1" vertOverflow="ellipsis" vert="horz" wrap="square" anchor="ctr" anchorCtr="1"/>
        <a:lstStyle/>
        <a:p>
          <a:pPr algn="ct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68430147863756"/>
          <c:y val="0.18560193530802446"/>
          <c:w val="0.72186448916107704"/>
          <c:h val="0.72125801983085447"/>
        </c:manualLayout>
      </c:layout>
      <c:barChart>
        <c:barDir val="bar"/>
        <c:grouping val="clustered"/>
        <c:varyColors val="0"/>
        <c:ser>
          <c:idx val="0"/>
          <c:order val="0"/>
          <c:tx>
            <c:v>Total</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2"/>
              <c:pt idx="0">
                <c:v>Jan</c:v>
              </c:pt>
              <c:pt idx="1">
                <c:v>Feb</c:v>
              </c:pt>
            </c:strLit>
          </c:cat>
          <c:val>
            <c:numLit>
              <c:formatCode>General</c:formatCode>
              <c:ptCount val="2"/>
              <c:pt idx="0">
                <c:v>9601.3719999999921</c:v>
              </c:pt>
              <c:pt idx="1">
                <c:v>1253.78</c:v>
              </c:pt>
            </c:numLit>
          </c:val>
          <c:extLst>
            <c:ext xmlns:c16="http://schemas.microsoft.com/office/drawing/2014/chart" uri="{C3380CC4-5D6E-409C-BE32-E72D297353CC}">
              <c16:uniqueId val="{00000000-8FE6-49FA-8310-D1209EA9D46F}"/>
            </c:ext>
          </c:extLst>
        </c:ser>
        <c:dLbls>
          <c:showLegendKey val="0"/>
          <c:showVal val="0"/>
          <c:showCatName val="0"/>
          <c:showSerName val="0"/>
          <c:showPercent val="0"/>
          <c:showBubbleSize val="0"/>
        </c:dLbls>
        <c:gapWidth val="115"/>
        <c:overlap val="-20"/>
        <c:axId val="187583120"/>
        <c:axId val="187582640"/>
      </c:barChart>
      <c:catAx>
        <c:axId val="18758312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82640"/>
        <c:crosses val="autoZero"/>
        <c:auto val="1"/>
        <c:lblAlgn val="ctr"/>
        <c:lblOffset val="100"/>
        <c:noMultiLvlLbl val="0"/>
      </c:catAx>
      <c:valAx>
        <c:axId val="1875826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83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1">
  <a:schemeClr val="accent1"/>
</cs:colorStyle>
</file>

<file path=xl/charts/colors7.xml><?xml version="1.0" encoding="utf-8"?>
<cs:colorStyle xmlns:cs="http://schemas.microsoft.com/office/drawing/2012/chartStyle" xmlns:a="http://schemas.openxmlformats.org/drawingml/2006/main" meth="withinLinear" id="19">
  <a:schemeClr val="accent6"/>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image" Target="../media/image1.emf"/><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10</xdr:col>
      <xdr:colOff>114300</xdr:colOff>
      <xdr:row>0</xdr:row>
      <xdr:rowOff>102870</xdr:rowOff>
    </xdr:from>
    <xdr:to>
      <xdr:col>18</xdr:col>
      <xdr:colOff>510540</xdr:colOff>
      <xdr:row>15</xdr:row>
      <xdr:rowOff>102870</xdr:rowOff>
    </xdr:to>
    <xdr:graphicFrame macro="">
      <xdr:nvGraphicFramePr>
        <xdr:cNvPr id="5" name="Chart 4">
          <a:extLst>
            <a:ext uri="{FF2B5EF4-FFF2-40B4-BE49-F238E27FC236}">
              <a16:creationId xmlns:a16="http://schemas.microsoft.com/office/drawing/2014/main" id="{F75F5314-F97F-FB9C-0093-28FE06EC20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880628</xdr:colOff>
      <xdr:row>59</xdr:row>
      <xdr:rowOff>28458</xdr:rowOff>
    </xdr:from>
    <xdr:to>
      <xdr:col>5</xdr:col>
      <xdr:colOff>591068</xdr:colOff>
      <xdr:row>74</xdr:row>
      <xdr:rowOff>28458</xdr:rowOff>
    </xdr:to>
    <xdr:graphicFrame macro="">
      <xdr:nvGraphicFramePr>
        <xdr:cNvPr id="6" name="Chart 5">
          <a:extLst>
            <a:ext uri="{FF2B5EF4-FFF2-40B4-BE49-F238E27FC236}">
              <a16:creationId xmlns:a16="http://schemas.microsoft.com/office/drawing/2014/main" id="{2EDB4B1D-12D0-105E-BCB8-B289AA4A5F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889489</xdr:colOff>
      <xdr:row>59</xdr:row>
      <xdr:rowOff>40991</xdr:rowOff>
    </xdr:from>
    <xdr:to>
      <xdr:col>16</xdr:col>
      <xdr:colOff>212244</xdr:colOff>
      <xdr:row>74</xdr:row>
      <xdr:rowOff>6065</xdr:rowOff>
    </xdr:to>
    <xdr:graphicFrame macro="">
      <xdr:nvGraphicFramePr>
        <xdr:cNvPr id="7" name="Chart 6">
          <a:extLst>
            <a:ext uri="{FF2B5EF4-FFF2-40B4-BE49-F238E27FC236}">
              <a16:creationId xmlns:a16="http://schemas.microsoft.com/office/drawing/2014/main" id="{E5AF75BE-C615-73E0-E631-F833F7DA30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206963</xdr:colOff>
      <xdr:row>0</xdr:row>
      <xdr:rowOff>0</xdr:rowOff>
    </xdr:from>
    <xdr:to>
      <xdr:col>42</xdr:col>
      <xdr:colOff>432741</xdr:colOff>
      <xdr:row>15</xdr:row>
      <xdr:rowOff>62089</xdr:rowOff>
    </xdr:to>
    <xdr:graphicFrame macro="">
      <xdr:nvGraphicFramePr>
        <xdr:cNvPr id="8" name="Chart 7">
          <a:extLst>
            <a:ext uri="{FF2B5EF4-FFF2-40B4-BE49-F238E27FC236}">
              <a16:creationId xmlns:a16="http://schemas.microsoft.com/office/drawing/2014/main" id="{0B8528D8-9DDD-9910-9836-AD6A355DB6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23</xdr:col>
      <xdr:colOff>78082</xdr:colOff>
      <xdr:row>1</xdr:row>
      <xdr:rowOff>102070</xdr:rowOff>
    </xdr:from>
    <xdr:to>
      <xdr:col>26</xdr:col>
      <xdr:colOff>72438</xdr:colOff>
      <xdr:row>16</xdr:row>
      <xdr:rowOff>2234</xdr:rowOff>
    </xdr:to>
    <mc:AlternateContent xmlns:mc="http://schemas.openxmlformats.org/markup-compatibility/2006" xmlns:a14="http://schemas.microsoft.com/office/drawing/2010/main">
      <mc:Choice Requires="a14">
        <xdr:graphicFrame macro="">
          <xdr:nvGraphicFramePr>
            <xdr:cNvPr id="9" name="Order Date">
              <a:extLst>
                <a:ext uri="{FF2B5EF4-FFF2-40B4-BE49-F238E27FC236}">
                  <a16:creationId xmlns:a16="http://schemas.microsoft.com/office/drawing/2014/main" id="{D0DD9906-C14F-B564-A440-16C696CA273F}"/>
                </a:ext>
              </a:extLst>
            </xdr:cNvPr>
            <xdr:cNvGraphicFramePr/>
          </xdr:nvGraphicFramePr>
          <xdr:xfrm>
            <a:off x="0" y="0"/>
            <a:ext cx="0" cy="0"/>
          </xdr:xfrm>
          <a:graphic>
            <a:graphicData uri="http://schemas.microsoft.com/office/drawing/2010/slicer">
              <sle:slicer xmlns:sle="http://schemas.microsoft.com/office/drawing/2010/slicer" name="Order Date"/>
            </a:graphicData>
          </a:graphic>
        </xdr:graphicFrame>
      </mc:Choice>
      <mc:Fallback xmlns="">
        <xdr:sp macro="" textlink="">
          <xdr:nvSpPr>
            <xdr:cNvPr id="0" name=""/>
            <xdr:cNvSpPr>
              <a:spLocks noTextEdit="1"/>
            </xdr:cNvSpPr>
          </xdr:nvSpPr>
          <xdr:spPr>
            <a:xfrm>
              <a:off x="21291786" y="280811"/>
              <a:ext cx="1828800"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322957</xdr:colOff>
      <xdr:row>18</xdr:row>
      <xdr:rowOff>8279</xdr:rowOff>
    </xdr:from>
    <xdr:to>
      <xdr:col>26</xdr:col>
      <xdr:colOff>317313</xdr:colOff>
      <xdr:row>32</xdr:row>
      <xdr:rowOff>87183</xdr:rowOff>
    </xdr:to>
    <mc:AlternateContent xmlns:mc="http://schemas.openxmlformats.org/markup-compatibility/2006" xmlns:a14="http://schemas.microsoft.com/office/drawing/2010/main">
      <mc:Choice Requires="a14">
        <xdr:graphicFrame macro="">
          <xdr:nvGraphicFramePr>
            <xdr:cNvPr id="10" name="Customer Name">
              <a:extLst>
                <a:ext uri="{FF2B5EF4-FFF2-40B4-BE49-F238E27FC236}">
                  <a16:creationId xmlns:a16="http://schemas.microsoft.com/office/drawing/2014/main" id="{71C91721-00E0-862D-97EA-0D9D86D18239}"/>
                </a:ext>
              </a:extLst>
            </xdr:cNvPr>
            <xdr:cNvGraphicFramePr/>
          </xdr:nvGraphicFramePr>
          <xdr:xfrm>
            <a:off x="0" y="0"/>
            <a:ext cx="0" cy="0"/>
          </xdr:xfrm>
          <a:graphic>
            <a:graphicData uri="http://schemas.microsoft.com/office/drawing/2010/slicer">
              <sle:slicer xmlns:sle="http://schemas.microsoft.com/office/drawing/2010/slicer" name="Customer Name"/>
            </a:graphicData>
          </a:graphic>
        </xdr:graphicFrame>
      </mc:Choice>
      <mc:Fallback xmlns="">
        <xdr:sp macro="" textlink="">
          <xdr:nvSpPr>
            <xdr:cNvPr id="0" name=""/>
            <xdr:cNvSpPr>
              <a:spLocks noTextEdit="1"/>
            </xdr:cNvSpPr>
          </xdr:nvSpPr>
          <xdr:spPr>
            <a:xfrm>
              <a:off x="21536661" y="3225612"/>
              <a:ext cx="1828800"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596053</xdr:colOff>
      <xdr:row>15</xdr:row>
      <xdr:rowOff>177894</xdr:rowOff>
    </xdr:from>
    <xdr:to>
      <xdr:col>34</xdr:col>
      <xdr:colOff>590408</xdr:colOff>
      <xdr:row>30</xdr:row>
      <xdr:rowOff>78058</xdr:rowOff>
    </xdr:to>
    <mc:AlternateContent xmlns:mc="http://schemas.openxmlformats.org/markup-compatibility/2006" xmlns:a14="http://schemas.microsoft.com/office/drawing/2010/main">
      <mc:Choice Requires="a14">
        <xdr:graphicFrame macro="">
          <xdr:nvGraphicFramePr>
            <xdr:cNvPr id="11" name="Month">
              <a:extLst>
                <a:ext uri="{FF2B5EF4-FFF2-40B4-BE49-F238E27FC236}">
                  <a16:creationId xmlns:a16="http://schemas.microsoft.com/office/drawing/2014/main" id="{B86F3DE5-95C3-08A7-8435-F89F8FD1A3D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7755238" y="2859005"/>
              <a:ext cx="1828800"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33</xdr:col>
      <xdr:colOff>56445</xdr:colOff>
      <xdr:row>39</xdr:row>
      <xdr:rowOff>91252</xdr:rowOff>
    </xdr:from>
    <xdr:to>
      <xdr:col>40</xdr:col>
      <xdr:colOff>348074</xdr:colOff>
      <xdr:row>54</xdr:row>
      <xdr:rowOff>153341</xdr:rowOff>
    </xdr:to>
    <xdr:graphicFrame macro="">
      <xdr:nvGraphicFramePr>
        <xdr:cNvPr id="12" name="Chart 11">
          <a:extLst>
            <a:ext uri="{FF2B5EF4-FFF2-40B4-BE49-F238E27FC236}">
              <a16:creationId xmlns:a16="http://schemas.microsoft.com/office/drawing/2014/main" id="{DC712B55-9221-5F94-80C5-12F1E8D2D7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93178</xdr:colOff>
      <xdr:row>0</xdr:row>
      <xdr:rowOff>120047</xdr:rowOff>
    </xdr:from>
    <xdr:to>
      <xdr:col>15</xdr:col>
      <xdr:colOff>16978</xdr:colOff>
      <xdr:row>4</xdr:row>
      <xdr:rowOff>173788</xdr:rowOff>
    </xdr:to>
    <xdr:sp macro="" textlink="">
      <xdr:nvSpPr>
        <xdr:cNvPr id="3" name="Flowchart: Alternate Process 2">
          <a:extLst>
            <a:ext uri="{FF2B5EF4-FFF2-40B4-BE49-F238E27FC236}">
              <a16:creationId xmlns:a16="http://schemas.microsoft.com/office/drawing/2014/main" id="{95BD6D5B-22F2-D297-F816-59496422160B}"/>
            </a:ext>
          </a:extLst>
        </xdr:cNvPr>
        <xdr:cNvSpPr/>
      </xdr:nvSpPr>
      <xdr:spPr>
        <a:xfrm>
          <a:off x="2552967" y="120047"/>
          <a:ext cx="6688222" cy="802373"/>
        </a:xfrm>
        <a:prstGeom prst="flowChartAlternateProcess">
          <a:avLst/>
        </a:prstGeom>
        <a:ln>
          <a:solidFill>
            <a:schemeClr val="accent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3600" b="1"/>
            <a:t>Supermarket</a:t>
          </a:r>
          <a:r>
            <a:rPr lang="en-US" sz="3600" b="1" baseline="0"/>
            <a:t> Sales Dashboard</a:t>
          </a:r>
          <a:endParaRPr lang="en-US" sz="3600" b="1"/>
        </a:p>
      </xdr:txBody>
    </xdr:sp>
    <xdr:clientData/>
  </xdr:twoCellAnchor>
  <xdr:twoCellAnchor>
    <xdr:from>
      <xdr:col>6</xdr:col>
      <xdr:colOff>427991</xdr:colOff>
      <xdr:row>6</xdr:row>
      <xdr:rowOff>21166</xdr:rowOff>
    </xdr:from>
    <xdr:to>
      <xdr:col>11</xdr:col>
      <xdr:colOff>179916</xdr:colOff>
      <xdr:row>14</xdr:row>
      <xdr:rowOff>137583</xdr:rowOff>
    </xdr:to>
    <xdr:sp macro="" textlink="$X$16">
      <xdr:nvSpPr>
        <xdr:cNvPr id="6" name="Oval 5">
          <a:extLst>
            <a:ext uri="{FF2B5EF4-FFF2-40B4-BE49-F238E27FC236}">
              <a16:creationId xmlns:a16="http://schemas.microsoft.com/office/drawing/2014/main" id="{4F528ECD-DBEE-4548-A654-6B0E5DCF761F}"/>
            </a:ext>
          </a:extLst>
        </xdr:cNvPr>
        <xdr:cNvSpPr/>
      </xdr:nvSpPr>
      <xdr:spPr>
        <a:xfrm>
          <a:off x="4110991" y="1100666"/>
          <a:ext cx="2821092" cy="1555750"/>
        </a:xfrm>
        <a:prstGeom prst="ellipse">
          <a:avLst/>
        </a:prstGeom>
        <a:ln>
          <a:solidFill>
            <a:schemeClr val="accent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1CC9216A-F9F4-44A8-9D48-F192AA9D2710}" type="TxLink">
            <a:rPr lang="en-US" sz="2800" b="0" i="0" u="none" strike="noStrike">
              <a:solidFill>
                <a:srgbClr val="000000"/>
              </a:solidFill>
              <a:latin typeface="Aptos Narrow"/>
            </a:rPr>
            <a:pPr algn="ctr"/>
            <a:t>71</a:t>
          </a:fld>
          <a:endParaRPr lang="en-US" sz="2800" b="1"/>
        </a:p>
      </xdr:txBody>
    </xdr:sp>
    <xdr:clientData/>
  </xdr:twoCellAnchor>
  <xdr:twoCellAnchor>
    <xdr:from>
      <xdr:col>1</xdr:col>
      <xdr:colOff>10585</xdr:colOff>
      <xdr:row>15</xdr:row>
      <xdr:rowOff>93133</xdr:rowOff>
    </xdr:from>
    <xdr:to>
      <xdr:col>5</xdr:col>
      <xdr:colOff>433917</xdr:colOff>
      <xdr:row>24</xdr:row>
      <xdr:rowOff>52916</xdr:rowOff>
    </xdr:to>
    <xdr:sp macro="" textlink="$X$18">
      <xdr:nvSpPr>
        <xdr:cNvPr id="8" name="Oval 7">
          <a:extLst>
            <a:ext uri="{FF2B5EF4-FFF2-40B4-BE49-F238E27FC236}">
              <a16:creationId xmlns:a16="http://schemas.microsoft.com/office/drawing/2014/main" id="{2252019C-E1F2-45DC-AFD0-937E2BEB6743}"/>
            </a:ext>
          </a:extLst>
        </xdr:cNvPr>
        <xdr:cNvSpPr/>
      </xdr:nvSpPr>
      <xdr:spPr>
        <a:xfrm>
          <a:off x="624418" y="2791883"/>
          <a:ext cx="2878666" cy="1579033"/>
        </a:xfrm>
        <a:prstGeom prst="ellipse">
          <a:avLst/>
        </a:prstGeom>
        <a:ln>
          <a:solidFill>
            <a:schemeClr val="accent2">
              <a:lumMod val="40000"/>
              <a:lumOff val="6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A9C1D29D-DEFD-44F3-B5B1-FDE123EBF3D2}" type="TxLink">
            <a:rPr lang="en-US" sz="2800" b="0" i="0" u="none" strike="noStrike">
              <a:solidFill>
                <a:srgbClr val="000000"/>
              </a:solidFill>
              <a:latin typeface="Aptos Narrow"/>
            </a:rPr>
            <a:pPr algn="ctr"/>
            <a:t>152.9</a:t>
          </a:fld>
          <a:endParaRPr lang="en-US" sz="2800" b="1"/>
        </a:p>
      </xdr:txBody>
    </xdr:sp>
    <xdr:clientData/>
  </xdr:twoCellAnchor>
  <xdr:twoCellAnchor>
    <xdr:from>
      <xdr:col>1</xdr:col>
      <xdr:colOff>31327</xdr:colOff>
      <xdr:row>26</xdr:row>
      <xdr:rowOff>16934</xdr:rowOff>
    </xdr:from>
    <xdr:to>
      <xdr:col>15</xdr:col>
      <xdr:colOff>16087</xdr:colOff>
      <xdr:row>40</xdr:row>
      <xdr:rowOff>138853</xdr:rowOff>
    </xdr:to>
    <xdr:sp macro="" textlink="">
      <xdr:nvSpPr>
        <xdr:cNvPr id="9" name="Rectangle 8">
          <a:extLst>
            <a:ext uri="{FF2B5EF4-FFF2-40B4-BE49-F238E27FC236}">
              <a16:creationId xmlns:a16="http://schemas.microsoft.com/office/drawing/2014/main" id="{5DA2DC3D-3E69-937B-8BB6-9E2DF96EB2D2}"/>
            </a:ext>
          </a:extLst>
        </xdr:cNvPr>
        <xdr:cNvSpPr/>
      </xdr:nvSpPr>
      <xdr:spPr>
        <a:xfrm>
          <a:off x="645160" y="4694767"/>
          <a:ext cx="8578427" cy="2640753"/>
        </a:xfrm>
        <a:prstGeom prst="rect">
          <a:avLst/>
        </a:prstGeom>
        <a:ln>
          <a:solidFill>
            <a:schemeClr val="accent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11</xdr:col>
      <xdr:colOff>493183</xdr:colOff>
      <xdr:row>41</xdr:row>
      <xdr:rowOff>178647</xdr:rowOff>
    </xdr:from>
    <xdr:to>
      <xdr:col>18</xdr:col>
      <xdr:colOff>62230</xdr:colOff>
      <xdr:row>55</xdr:row>
      <xdr:rowOff>155787</xdr:rowOff>
    </xdr:to>
    <xdr:sp macro="" textlink="">
      <xdr:nvSpPr>
        <xdr:cNvPr id="12" name="Rectangle 11">
          <a:extLst>
            <a:ext uri="{FF2B5EF4-FFF2-40B4-BE49-F238E27FC236}">
              <a16:creationId xmlns:a16="http://schemas.microsoft.com/office/drawing/2014/main" id="{5814155F-268F-6EE9-4385-598E48F47914}"/>
            </a:ext>
          </a:extLst>
        </xdr:cNvPr>
        <xdr:cNvSpPr/>
      </xdr:nvSpPr>
      <xdr:spPr>
        <a:xfrm>
          <a:off x="7245350" y="7555230"/>
          <a:ext cx="3865880" cy="2495974"/>
        </a:xfrm>
        <a:prstGeom prst="rect">
          <a:avLst/>
        </a:prstGeom>
        <a:ln>
          <a:solidFill>
            <a:schemeClr val="accent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11</xdr:col>
      <xdr:colOff>543560</xdr:colOff>
      <xdr:row>42</xdr:row>
      <xdr:rowOff>33867</xdr:rowOff>
    </xdr:from>
    <xdr:to>
      <xdr:col>18</xdr:col>
      <xdr:colOff>5927</xdr:colOff>
      <xdr:row>55</xdr:row>
      <xdr:rowOff>79587</xdr:rowOff>
    </xdr:to>
    <xdr:graphicFrame macro="">
      <xdr:nvGraphicFramePr>
        <xdr:cNvPr id="14" name="Chart 13">
          <a:extLst>
            <a:ext uri="{FF2B5EF4-FFF2-40B4-BE49-F238E27FC236}">
              <a16:creationId xmlns:a16="http://schemas.microsoft.com/office/drawing/2014/main" id="{A529FC74-ABBA-4439-8102-2C9267B649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xdr:colOff>
      <xdr:row>41</xdr:row>
      <xdr:rowOff>168063</xdr:rowOff>
    </xdr:from>
    <xdr:to>
      <xdr:col>11</xdr:col>
      <xdr:colOff>218440</xdr:colOff>
      <xdr:row>56</xdr:row>
      <xdr:rowOff>11007</xdr:rowOff>
    </xdr:to>
    <xdr:sp macro="" textlink="">
      <xdr:nvSpPr>
        <xdr:cNvPr id="15" name="Rectangle 14">
          <a:extLst>
            <a:ext uri="{FF2B5EF4-FFF2-40B4-BE49-F238E27FC236}">
              <a16:creationId xmlns:a16="http://schemas.microsoft.com/office/drawing/2014/main" id="{CA48BC09-A869-0515-B1D9-1A12802F9652}"/>
            </a:ext>
          </a:extLst>
        </xdr:cNvPr>
        <xdr:cNvSpPr/>
      </xdr:nvSpPr>
      <xdr:spPr>
        <a:xfrm>
          <a:off x="626533" y="7544646"/>
          <a:ext cx="6344074" cy="2541694"/>
        </a:xfrm>
        <a:prstGeom prst="rect">
          <a:avLst/>
        </a:prstGeom>
        <a:ln>
          <a:solidFill>
            <a:schemeClr val="accent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66040</xdr:colOff>
      <xdr:row>42</xdr:row>
      <xdr:rowOff>23282</xdr:rowOff>
    </xdr:from>
    <xdr:to>
      <xdr:col>11</xdr:col>
      <xdr:colOff>165100</xdr:colOff>
      <xdr:row>55</xdr:row>
      <xdr:rowOff>127000</xdr:rowOff>
    </xdr:to>
    <xdr:graphicFrame macro="">
      <xdr:nvGraphicFramePr>
        <xdr:cNvPr id="17" name="Chart 16">
          <a:extLst>
            <a:ext uri="{FF2B5EF4-FFF2-40B4-BE49-F238E27FC236}">
              <a16:creationId xmlns:a16="http://schemas.microsoft.com/office/drawing/2014/main" id="{3C6952B5-F606-4AB0-AE7B-AB190ED237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539750</xdr:colOff>
      <xdr:row>6</xdr:row>
      <xdr:rowOff>105833</xdr:rowOff>
    </xdr:from>
    <xdr:to>
      <xdr:col>16</xdr:col>
      <xdr:colOff>84667</xdr:colOff>
      <xdr:row>15</xdr:row>
      <xdr:rowOff>10582</xdr:rowOff>
    </xdr:to>
    <xdr:sp macro="" textlink="$Y$11">
      <xdr:nvSpPr>
        <xdr:cNvPr id="18" name="Oval 17">
          <a:extLst>
            <a:ext uri="{FF2B5EF4-FFF2-40B4-BE49-F238E27FC236}">
              <a16:creationId xmlns:a16="http://schemas.microsoft.com/office/drawing/2014/main" id="{6D4AD7FA-F55A-48DD-987A-59B4A51B9F8F}"/>
            </a:ext>
          </a:extLst>
        </xdr:cNvPr>
        <xdr:cNvSpPr/>
      </xdr:nvSpPr>
      <xdr:spPr>
        <a:xfrm>
          <a:off x="7291917" y="1185333"/>
          <a:ext cx="2614083" cy="1523999"/>
        </a:xfrm>
        <a:prstGeom prst="ellipse">
          <a:avLst/>
        </a:prstGeom>
        <a:ln>
          <a:solidFill>
            <a:schemeClr val="accent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ABA25B40-6431-4BC1-AA9B-D320C9352357}" type="TxLink">
            <a:rPr lang="en-US" sz="2800" b="0" i="0" u="none" strike="noStrike">
              <a:solidFill>
                <a:srgbClr val="000000"/>
              </a:solidFill>
              <a:latin typeface="Aptos Narrow"/>
            </a:rPr>
            <a:pPr algn="ctr"/>
            <a:t>168</a:t>
          </a:fld>
          <a:endParaRPr lang="en-US" sz="2800" b="1"/>
        </a:p>
      </xdr:txBody>
    </xdr:sp>
    <xdr:clientData/>
  </xdr:twoCellAnchor>
  <xdr:twoCellAnchor>
    <xdr:from>
      <xdr:col>6</xdr:col>
      <xdr:colOff>465667</xdr:colOff>
      <xdr:row>15</xdr:row>
      <xdr:rowOff>148167</xdr:rowOff>
    </xdr:from>
    <xdr:to>
      <xdr:col>11</xdr:col>
      <xdr:colOff>254000</xdr:colOff>
      <xdr:row>24</xdr:row>
      <xdr:rowOff>63500</xdr:rowOff>
    </xdr:to>
    <xdr:sp macro="" textlink="$Z$6">
      <xdr:nvSpPr>
        <xdr:cNvPr id="19" name="Oval 18">
          <a:extLst>
            <a:ext uri="{FF2B5EF4-FFF2-40B4-BE49-F238E27FC236}">
              <a16:creationId xmlns:a16="http://schemas.microsoft.com/office/drawing/2014/main" id="{A7B7BF7C-6115-4F95-B76C-1B791C5932A3}"/>
            </a:ext>
          </a:extLst>
        </xdr:cNvPr>
        <xdr:cNvSpPr/>
      </xdr:nvSpPr>
      <xdr:spPr>
        <a:xfrm>
          <a:off x="4150563" y="2877719"/>
          <a:ext cx="2859079" cy="1553065"/>
        </a:xfrm>
        <a:prstGeom prst="ellipse">
          <a:avLst/>
        </a:prstGeom>
        <a:ln>
          <a:solidFill>
            <a:schemeClr val="accent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E99BA2E1-6DCF-46BD-A796-176139A5AEC5}" type="TxLink">
            <a:rPr lang="en-US" sz="2800" b="0" i="0" u="none" strike="noStrike">
              <a:solidFill>
                <a:srgbClr val="000000"/>
              </a:solidFill>
              <a:latin typeface="Aptos Narrow"/>
            </a:rPr>
            <a:pPr algn="ctr"/>
            <a:t>330.0</a:t>
          </a:fld>
          <a:endParaRPr lang="en-US" sz="2800" b="1"/>
        </a:p>
      </xdr:txBody>
    </xdr:sp>
    <xdr:clientData/>
  </xdr:twoCellAnchor>
  <xdr:twoCellAnchor>
    <xdr:from>
      <xdr:col>11</xdr:col>
      <xdr:colOff>529166</xdr:colOff>
      <xdr:row>15</xdr:row>
      <xdr:rowOff>127846</xdr:rowOff>
    </xdr:from>
    <xdr:to>
      <xdr:col>16</xdr:col>
      <xdr:colOff>169333</xdr:colOff>
      <xdr:row>24</xdr:row>
      <xdr:rowOff>31749</xdr:rowOff>
    </xdr:to>
    <xdr:sp macro="" textlink="$Y$9">
      <xdr:nvSpPr>
        <xdr:cNvPr id="20" name="Oval 19">
          <a:extLst>
            <a:ext uri="{FF2B5EF4-FFF2-40B4-BE49-F238E27FC236}">
              <a16:creationId xmlns:a16="http://schemas.microsoft.com/office/drawing/2014/main" id="{0837254C-68AA-4D7D-A8A0-27D7F8F825F6}"/>
            </a:ext>
          </a:extLst>
        </xdr:cNvPr>
        <xdr:cNvSpPr/>
      </xdr:nvSpPr>
      <xdr:spPr>
        <a:xfrm>
          <a:off x="7281333" y="2826596"/>
          <a:ext cx="2709333" cy="1523153"/>
        </a:xfrm>
        <a:prstGeom prst="ellipse">
          <a:avLst/>
        </a:prstGeom>
        <a:ln>
          <a:solidFill>
            <a:schemeClr val="accent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32EB92A1-1B56-4CBD-938C-9F6917BBC8ED}" type="TxLink">
            <a:rPr lang="en-US" sz="2800" b="0" i="0" u="none" strike="noStrike">
              <a:solidFill>
                <a:srgbClr val="000000"/>
              </a:solidFill>
              <a:latin typeface="Aptos Narrow"/>
            </a:rPr>
            <a:pPr algn="ctr"/>
            <a:t>0.1</a:t>
          </a:fld>
          <a:endParaRPr lang="en-US" sz="2800" b="1"/>
        </a:p>
      </xdr:txBody>
    </xdr:sp>
    <xdr:clientData/>
  </xdr:twoCellAnchor>
  <xdr:twoCellAnchor>
    <xdr:from>
      <xdr:col>0</xdr:col>
      <xdr:colOff>504189</xdr:colOff>
      <xdr:row>57</xdr:row>
      <xdr:rowOff>100330</xdr:rowOff>
    </xdr:from>
    <xdr:to>
      <xdr:col>17</xdr:col>
      <xdr:colOff>588009</xdr:colOff>
      <xdr:row>75</xdr:row>
      <xdr:rowOff>69850</xdr:rowOff>
    </xdr:to>
    <xdr:sp macro="" textlink="">
      <xdr:nvSpPr>
        <xdr:cNvPr id="21" name="Rectangle 20">
          <a:extLst>
            <a:ext uri="{FF2B5EF4-FFF2-40B4-BE49-F238E27FC236}">
              <a16:creationId xmlns:a16="http://schemas.microsoft.com/office/drawing/2014/main" id="{8CE75B19-7B82-9C7F-905D-5BCBAB5F98CC}"/>
            </a:ext>
          </a:extLst>
        </xdr:cNvPr>
        <xdr:cNvSpPr/>
      </xdr:nvSpPr>
      <xdr:spPr>
        <a:xfrm>
          <a:off x="504189" y="10355580"/>
          <a:ext cx="10518987" cy="3208020"/>
        </a:xfrm>
        <a:prstGeom prst="rect">
          <a:avLst/>
        </a:prstGeom>
        <a:ln>
          <a:solidFill>
            <a:schemeClr val="accent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576580</xdr:colOff>
      <xdr:row>57</xdr:row>
      <xdr:rowOff>152400</xdr:rowOff>
    </xdr:from>
    <xdr:to>
      <xdr:col>17</xdr:col>
      <xdr:colOff>538480</xdr:colOff>
      <xdr:row>74</xdr:row>
      <xdr:rowOff>167641</xdr:rowOff>
    </xdr:to>
    <xdr:graphicFrame macro="">
      <xdr:nvGraphicFramePr>
        <xdr:cNvPr id="24" name="Chart 23">
          <a:extLst>
            <a:ext uri="{FF2B5EF4-FFF2-40B4-BE49-F238E27FC236}">
              <a16:creationId xmlns:a16="http://schemas.microsoft.com/office/drawing/2014/main" id="{EF455ACF-381E-4041-A7B6-7748C7AD2B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18</xdr:col>
      <xdr:colOff>222881</xdr:colOff>
      <xdr:row>61</xdr:row>
      <xdr:rowOff>52918</xdr:rowOff>
    </xdr:from>
    <xdr:to>
      <xdr:col>21</xdr:col>
      <xdr:colOff>209234</xdr:colOff>
      <xdr:row>75</xdr:row>
      <xdr:rowOff>86611</xdr:rowOff>
    </xdr:to>
    <mc:AlternateContent xmlns:mc="http://schemas.openxmlformats.org/markup-compatibility/2006" xmlns:a14="http://schemas.microsoft.com/office/drawing/2010/main">
      <mc:Choice Requires="a14">
        <xdr:graphicFrame macro="">
          <xdr:nvGraphicFramePr>
            <xdr:cNvPr id="30" name="Month 1">
              <a:extLst>
                <a:ext uri="{FF2B5EF4-FFF2-40B4-BE49-F238E27FC236}">
                  <a16:creationId xmlns:a16="http://schemas.microsoft.com/office/drawing/2014/main" id="{8754D70D-DCF7-49DD-8543-705158EE16E7}"/>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1291934" y="11469550"/>
              <a:ext cx="1831195" cy="26539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235676</xdr:colOff>
      <xdr:row>1</xdr:row>
      <xdr:rowOff>42334</xdr:rowOff>
    </xdr:from>
    <xdr:to>
      <xdr:col>21</xdr:col>
      <xdr:colOff>222029</xdr:colOff>
      <xdr:row>23</xdr:row>
      <xdr:rowOff>137584</xdr:rowOff>
    </xdr:to>
    <mc:AlternateContent xmlns:mc="http://schemas.openxmlformats.org/markup-compatibility/2006" xmlns:a14="http://schemas.microsoft.com/office/drawing/2010/main">
      <mc:Choice Requires="a14">
        <xdr:graphicFrame macro="">
          <xdr:nvGraphicFramePr>
            <xdr:cNvPr id="31" name="Order Date 1">
              <a:extLst>
                <a:ext uri="{FF2B5EF4-FFF2-40B4-BE49-F238E27FC236}">
                  <a16:creationId xmlns:a16="http://schemas.microsoft.com/office/drawing/2014/main" id="{A634327C-3679-4986-9CBC-DF322A2C4F7F}"/>
                </a:ext>
              </a:extLst>
            </xdr:cNvPr>
            <xdr:cNvGraphicFramePr/>
          </xdr:nvGraphicFramePr>
          <xdr:xfrm>
            <a:off x="0" y="0"/>
            <a:ext cx="0" cy="0"/>
          </xdr:xfrm>
          <a:graphic>
            <a:graphicData uri="http://schemas.microsoft.com/office/drawing/2010/slicer">
              <sle:slicer xmlns:sle="http://schemas.microsoft.com/office/drawing/2010/slicer" name="Order Date 1"/>
            </a:graphicData>
          </a:graphic>
        </xdr:graphicFrame>
      </mc:Choice>
      <mc:Fallback xmlns="">
        <xdr:sp macro="" textlink="">
          <xdr:nvSpPr>
            <xdr:cNvPr id="0" name=""/>
            <xdr:cNvSpPr>
              <a:spLocks noTextEdit="1"/>
            </xdr:cNvSpPr>
          </xdr:nvSpPr>
          <xdr:spPr>
            <a:xfrm>
              <a:off x="11304729" y="229492"/>
              <a:ext cx="1831195" cy="42127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229358</xdr:colOff>
      <xdr:row>24</xdr:row>
      <xdr:rowOff>95251</xdr:rowOff>
    </xdr:from>
    <xdr:to>
      <xdr:col>21</xdr:col>
      <xdr:colOff>215711</xdr:colOff>
      <xdr:row>60</xdr:row>
      <xdr:rowOff>74084</xdr:rowOff>
    </xdr:to>
    <mc:AlternateContent xmlns:mc="http://schemas.openxmlformats.org/markup-compatibility/2006" xmlns:a14="http://schemas.microsoft.com/office/drawing/2010/main">
      <mc:Choice Requires="a14">
        <xdr:graphicFrame macro="">
          <xdr:nvGraphicFramePr>
            <xdr:cNvPr id="33" name="Customer Name 1">
              <a:extLst>
                <a:ext uri="{FF2B5EF4-FFF2-40B4-BE49-F238E27FC236}">
                  <a16:creationId xmlns:a16="http://schemas.microsoft.com/office/drawing/2014/main" id="{0307094E-FEE3-4D4D-9331-9E4A88EAAA42}"/>
                </a:ext>
              </a:extLst>
            </xdr:cNvPr>
            <xdr:cNvGraphicFramePr/>
          </xdr:nvGraphicFramePr>
          <xdr:xfrm>
            <a:off x="0" y="0"/>
            <a:ext cx="0" cy="0"/>
          </xdr:xfrm>
          <a:graphic>
            <a:graphicData uri="http://schemas.microsoft.com/office/drawing/2010/slicer">
              <sle:slicer xmlns:sle="http://schemas.microsoft.com/office/drawing/2010/slicer" name="Customer Name 1"/>
            </a:graphicData>
          </a:graphic>
        </xdr:graphicFrame>
      </mc:Choice>
      <mc:Fallback xmlns="">
        <xdr:sp macro="" textlink="">
          <xdr:nvSpPr>
            <xdr:cNvPr id="0" name=""/>
            <xdr:cNvSpPr>
              <a:spLocks noTextEdit="1"/>
            </xdr:cNvSpPr>
          </xdr:nvSpPr>
          <xdr:spPr>
            <a:xfrm>
              <a:off x="11298411" y="4587040"/>
              <a:ext cx="1831195" cy="67165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77108</xdr:colOff>
      <xdr:row>26</xdr:row>
      <xdr:rowOff>57996</xdr:rowOff>
    </xdr:from>
    <xdr:to>
      <xdr:col>14</xdr:col>
      <xdr:colOff>588131</xdr:colOff>
      <xdr:row>40</xdr:row>
      <xdr:rowOff>103715</xdr:rowOff>
    </xdr:to>
    <xdr:graphicFrame macro="">
      <xdr:nvGraphicFramePr>
        <xdr:cNvPr id="35" name="Chart 34">
          <a:extLst>
            <a:ext uri="{FF2B5EF4-FFF2-40B4-BE49-F238E27FC236}">
              <a16:creationId xmlns:a16="http://schemas.microsoft.com/office/drawing/2014/main" id="{C59AB7C0-5870-4BD1-9575-91ED1DD7FB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24</xdr:col>
      <xdr:colOff>0</xdr:colOff>
      <xdr:row>0</xdr:row>
      <xdr:rowOff>0</xdr:rowOff>
    </xdr:from>
    <xdr:to>
      <xdr:col>24</xdr:col>
      <xdr:colOff>621453</xdr:colOff>
      <xdr:row>1</xdr:row>
      <xdr:rowOff>7620</xdr:rowOff>
    </xdr:to>
    <xdr:pic>
      <xdr:nvPicPr>
        <xdr:cNvPr id="37" name="Picture 36">
          <a:extLst>
            <a:ext uri="{FF2B5EF4-FFF2-40B4-BE49-F238E27FC236}">
              <a16:creationId xmlns:a16="http://schemas.microsoft.com/office/drawing/2014/main" id="{F38D2A15-D78C-869F-658F-0057B913EFC1}"/>
            </a:ext>
          </a:extLst>
        </xdr:cNvPr>
        <xdr:cNvPicPr>
          <a:picLocks noChangeAspect="1" noChangeArrowheads="1"/>
        </xdr:cNvPicPr>
      </xdr:nvPicPr>
      <xdr:blipFill>
        <a:blip xmlns:r="http://schemas.openxmlformats.org/officeDocument/2006/relationships" r:embed="rId5"/>
        <a:srcRect/>
        <a:stretch>
          <a:fillRect/>
        </a:stretch>
      </xdr:blipFill>
      <xdr:spPr bwMode="auto">
        <a:xfrm>
          <a:off x="14630400" y="0"/>
          <a:ext cx="61722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63501</xdr:colOff>
      <xdr:row>5</xdr:row>
      <xdr:rowOff>137583</xdr:rowOff>
    </xdr:from>
    <xdr:to>
      <xdr:col>5</xdr:col>
      <xdr:colOff>370418</xdr:colOff>
      <xdr:row>14</xdr:row>
      <xdr:rowOff>0</xdr:rowOff>
    </xdr:to>
    <xdr:sp macro="" textlink="$Y$14">
      <xdr:nvSpPr>
        <xdr:cNvPr id="41" name="Oval 40">
          <a:extLst>
            <a:ext uri="{FF2B5EF4-FFF2-40B4-BE49-F238E27FC236}">
              <a16:creationId xmlns:a16="http://schemas.microsoft.com/office/drawing/2014/main" id="{437DE88A-58BA-E582-90CA-D25D2645F155}"/>
            </a:ext>
          </a:extLst>
        </xdr:cNvPr>
        <xdr:cNvSpPr/>
      </xdr:nvSpPr>
      <xdr:spPr>
        <a:xfrm>
          <a:off x="677334" y="1037166"/>
          <a:ext cx="2762251" cy="1481667"/>
        </a:xfrm>
        <a:prstGeom prst="ellipse">
          <a:avLst/>
        </a:prstGeom>
        <a:ln>
          <a:solidFill>
            <a:schemeClr val="accent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D731DF7E-FD0A-4335-9392-FA0C8D184B4D}" type="TxLink">
            <a:rPr lang="en-US" sz="3200" b="0" i="0" u="none" strike="noStrike">
              <a:solidFill>
                <a:srgbClr val="000000"/>
              </a:solidFill>
              <a:latin typeface="Aptos Narrow"/>
            </a:rPr>
            <a:pPr algn="ctr"/>
            <a:t>10855.3</a:t>
          </a:fld>
          <a:endParaRPr lang="en-US" sz="3200"/>
        </a:p>
      </xdr:txBody>
    </xdr:sp>
    <xdr:clientData/>
  </xdr:twoCellAnchor>
  <xdr:twoCellAnchor>
    <xdr:from>
      <xdr:col>1</xdr:col>
      <xdr:colOff>476249</xdr:colOff>
      <xdr:row>10</xdr:row>
      <xdr:rowOff>21166</xdr:rowOff>
    </xdr:from>
    <xdr:to>
      <xdr:col>4</xdr:col>
      <xdr:colOff>486833</xdr:colOff>
      <xdr:row>12</xdr:row>
      <xdr:rowOff>74083</xdr:rowOff>
    </xdr:to>
    <xdr:sp macro="" textlink="">
      <xdr:nvSpPr>
        <xdr:cNvPr id="42" name="TextBox 41">
          <a:extLst>
            <a:ext uri="{FF2B5EF4-FFF2-40B4-BE49-F238E27FC236}">
              <a16:creationId xmlns:a16="http://schemas.microsoft.com/office/drawing/2014/main" id="{BADD3537-1B5B-CDA0-AE51-7D20E7D4AA7B}"/>
            </a:ext>
          </a:extLst>
        </xdr:cNvPr>
        <xdr:cNvSpPr txBox="1"/>
      </xdr:nvSpPr>
      <xdr:spPr>
        <a:xfrm>
          <a:off x="1090082" y="1820333"/>
          <a:ext cx="1852084" cy="412750"/>
        </a:xfrm>
        <a:prstGeom prst="rect">
          <a:avLst/>
        </a:prstGeom>
        <a:ln w="9525" cmpd="sng">
          <a:solidFill>
            <a:schemeClr val="lt1">
              <a:shade val="50000"/>
            </a:schemeClr>
          </a:solidFill>
        </a:ln>
      </xdr:spPr>
      <xdr:style>
        <a:lnRef idx="0">
          <a:scrgbClr r="0" g="0" b="0"/>
        </a:lnRef>
        <a:fillRef idx="1001">
          <a:schemeClr val="lt1"/>
        </a:fillRef>
        <a:effectRef idx="0">
          <a:scrgbClr r="0" g="0" b="0"/>
        </a:effectRef>
        <a:fontRef idx="minor">
          <a:schemeClr val="dk1"/>
        </a:fontRef>
      </xdr:style>
      <xdr:txBody>
        <a:bodyPr vertOverflow="clip" horzOverflow="clip" wrap="square" rtlCol="0" anchor="t"/>
        <a:lstStyle/>
        <a:p>
          <a:pPr algn="ctr"/>
          <a:r>
            <a:rPr lang="en-US" sz="2000"/>
            <a:t>Total Revenue</a:t>
          </a:r>
        </a:p>
      </xdr:txBody>
    </xdr:sp>
    <xdr:clientData/>
  </xdr:twoCellAnchor>
  <xdr:twoCellAnchor>
    <xdr:from>
      <xdr:col>7</xdr:col>
      <xdr:colOff>328084</xdr:colOff>
      <xdr:row>10</xdr:row>
      <xdr:rowOff>116417</xdr:rowOff>
    </xdr:from>
    <xdr:to>
      <xdr:col>10</xdr:col>
      <xdr:colOff>349251</xdr:colOff>
      <xdr:row>12</xdr:row>
      <xdr:rowOff>127000</xdr:rowOff>
    </xdr:to>
    <xdr:sp macro="" textlink="">
      <xdr:nvSpPr>
        <xdr:cNvPr id="43" name="TextBox 42">
          <a:extLst>
            <a:ext uri="{FF2B5EF4-FFF2-40B4-BE49-F238E27FC236}">
              <a16:creationId xmlns:a16="http://schemas.microsoft.com/office/drawing/2014/main" id="{5D3D2C8F-FE77-9DC6-F6DB-AE163B358751}"/>
            </a:ext>
          </a:extLst>
        </xdr:cNvPr>
        <xdr:cNvSpPr txBox="1"/>
      </xdr:nvSpPr>
      <xdr:spPr>
        <a:xfrm>
          <a:off x="4624917" y="1915584"/>
          <a:ext cx="1862667" cy="3704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a:t>Total Order</a:t>
          </a:r>
        </a:p>
      </xdr:txBody>
    </xdr:sp>
    <xdr:clientData/>
  </xdr:twoCellAnchor>
  <xdr:twoCellAnchor>
    <xdr:from>
      <xdr:col>12</xdr:col>
      <xdr:colOff>211667</xdr:colOff>
      <xdr:row>10</xdr:row>
      <xdr:rowOff>74084</xdr:rowOff>
    </xdr:from>
    <xdr:to>
      <xdr:col>15</xdr:col>
      <xdr:colOff>444500</xdr:colOff>
      <xdr:row>12</xdr:row>
      <xdr:rowOff>127001</xdr:rowOff>
    </xdr:to>
    <xdr:sp macro="" textlink="">
      <xdr:nvSpPr>
        <xdr:cNvPr id="44" name="TextBox 43">
          <a:extLst>
            <a:ext uri="{FF2B5EF4-FFF2-40B4-BE49-F238E27FC236}">
              <a16:creationId xmlns:a16="http://schemas.microsoft.com/office/drawing/2014/main" id="{5157459F-9131-0CC3-6427-772FF8F95C57}"/>
            </a:ext>
          </a:extLst>
        </xdr:cNvPr>
        <xdr:cNvSpPr txBox="1"/>
      </xdr:nvSpPr>
      <xdr:spPr>
        <a:xfrm>
          <a:off x="7577667" y="1873251"/>
          <a:ext cx="2074333" cy="412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a:t>Total</a:t>
          </a:r>
          <a:r>
            <a:rPr lang="en-US" sz="2000" baseline="0"/>
            <a:t> Quantity</a:t>
          </a:r>
          <a:endParaRPr lang="en-US" sz="2000"/>
        </a:p>
      </xdr:txBody>
    </xdr:sp>
    <xdr:clientData/>
  </xdr:twoCellAnchor>
  <xdr:twoCellAnchor>
    <xdr:from>
      <xdr:col>1</xdr:col>
      <xdr:colOff>433918</xdr:colOff>
      <xdr:row>19</xdr:row>
      <xdr:rowOff>148166</xdr:rowOff>
    </xdr:from>
    <xdr:to>
      <xdr:col>5</xdr:col>
      <xdr:colOff>74084</xdr:colOff>
      <xdr:row>22</xdr:row>
      <xdr:rowOff>52916</xdr:rowOff>
    </xdr:to>
    <xdr:sp macro="" textlink="">
      <xdr:nvSpPr>
        <xdr:cNvPr id="45" name="TextBox 44">
          <a:extLst>
            <a:ext uri="{FF2B5EF4-FFF2-40B4-BE49-F238E27FC236}">
              <a16:creationId xmlns:a16="http://schemas.microsoft.com/office/drawing/2014/main" id="{F8663B8A-1555-0A16-C7DB-62E3310C5002}"/>
            </a:ext>
          </a:extLst>
        </xdr:cNvPr>
        <xdr:cNvSpPr txBox="1"/>
      </xdr:nvSpPr>
      <xdr:spPr>
        <a:xfrm>
          <a:off x="1047751" y="3566583"/>
          <a:ext cx="2095500" cy="44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a:t>Average Sales</a:t>
          </a:r>
        </a:p>
      </xdr:txBody>
    </xdr:sp>
    <xdr:clientData/>
  </xdr:twoCellAnchor>
  <xdr:twoCellAnchor>
    <xdr:from>
      <xdr:col>12</xdr:col>
      <xdr:colOff>264583</xdr:colOff>
      <xdr:row>19</xdr:row>
      <xdr:rowOff>148167</xdr:rowOff>
    </xdr:from>
    <xdr:to>
      <xdr:col>15</xdr:col>
      <xdr:colOff>402167</xdr:colOff>
      <xdr:row>22</xdr:row>
      <xdr:rowOff>42334</xdr:rowOff>
    </xdr:to>
    <xdr:sp macro="" textlink="">
      <xdr:nvSpPr>
        <xdr:cNvPr id="46" name="TextBox 45">
          <a:extLst>
            <a:ext uri="{FF2B5EF4-FFF2-40B4-BE49-F238E27FC236}">
              <a16:creationId xmlns:a16="http://schemas.microsoft.com/office/drawing/2014/main" id="{C1FB727A-2A13-D6D9-CED5-C99BAE8ACFB3}"/>
            </a:ext>
          </a:extLst>
        </xdr:cNvPr>
        <xdr:cNvSpPr txBox="1"/>
      </xdr:nvSpPr>
      <xdr:spPr>
        <a:xfrm>
          <a:off x="7630583" y="3566584"/>
          <a:ext cx="1979084" cy="4339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a:t>Lowest Sales</a:t>
          </a:r>
        </a:p>
      </xdr:txBody>
    </xdr:sp>
    <xdr:clientData/>
  </xdr:twoCellAnchor>
  <xdr:twoCellAnchor>
    <xdr:from>
      <xdr:col>7</xdr:col>
      <xdr:colOff>211668</xdr:colOff>
      <xdr:row>19</xdr:row>
      <xdr:rowOff>169333</xdr:rowOff>
    </xdr:from>
    <xdr:to>
      <xdr:col>10</xdr:col>
      <xdr:colOff>455084</xdr:colOff>
      <xdr:row>22</xdr:row>
      <xdr:rowOff>74083</xdr:rowOff>
    </xdr:to>
    <xdr:sp macro="" textlink="">
      <xdr:nvSpPr>
        <xdr:cNvPr id="47" name="TextBox 46">
          <a:extLst>
            <a:ext uri="{FF2B5EF4-FFF2-40B4-BE49-F238E27FC236}">
              <a16:creationId xmlns:a16="http://schemas.microsoft.com/office/drawing/2014/main" id="{C26289EB-25BA-63F9-FCCA-A5EAB572307F}"/>
            </a:ext>
          </a:extLst>
        </xdr:cNvPr>
        <xdr:cNvSpPr txBox="1"/>
      </xdr:nvSpPr>
      <xdr:spPr>
        <a:xfrm>
          <a:off x="4508501" y="3587750"/>
          <a:ext cx="2084916" cy="44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a:t>Higest Sales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213.614233333334" createdVersion="8" refreshedVersion="8" minRefreshableVersion="3" recordCount="70" xr:uid="{90A8325B-A1F6-4BCA-9C16-D4D21675F651}">
  <cacheSource type="worksheet">
    <worksheetSource name="Table1"/>
  </cacheSource>
  <cacheFields count="14">
    <cacheField name="Order No" numFmtId="0">
      <sharedItems/>
    </cacheField>
    <cacheField name="Order Date" numFmtId="14">
      <sharedItems containsSemiMixedTypes="0" containsNonDate="0" containsDate="1" containsString="0" minDate="2024-01-01T00:00:00" maxDate="2024-02-05T00:00:00" count="35">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sharedItems>
      <fieldGroup par="13"/>
    </cacheField>
    <cacheField name="Customer Name" numFmtId="0">
      <sharedItems count="51">
        <s v="John Smith"/>
        <s v="Jane Doe"/>
        <s v="Michael Johnson"/>
        <s v="Emily Brown"/>
        <s v="David Wilson"/>
        <s v="Lisa Taylor"/>
        <s v="Daniel Martinez"/>
        <s v="Sarah Anderson"/>
        <s v="Christopher Thomas"/>
        <s v="Kimberly Garcia"/>
        <s v="William Hernandez"/>
        <s v="Melissa Lopez"/>
        <s v="Richard Perez"/>
        <s v="Jessica Gonzalez"/>
        <s v="Matthew Wilson"/>
        <s v="Amanda Martinez"/>
        <s v="James Johnson"/>
        <s v="Laura Brown"/>
        <s v="Daniel Smith"/>
        <s v="Jennifer Davis"/>
        <s v="Michael Garcia"/>
        <s v="Amy Hernandez"/>
        <s v="Christopher Rodriguez"/>
        <s v="Jessica Martinez"/>
        <s v="Sarah Smith"/>
        <s v="Matthew Johnson"/>
        <s v="Emily Davis"/>
        <s v="Daniel Wilson"/>
        <s v="Jennifer Martinez"/>
        <s v="Michael Smith"/>
        <s v="Jessica Johnson"/>
        <s v="David Brown"/>
        <s v="Sarah Garcia"/>
        <s v="Matthew Hernandez"/>
        <s v="Emily Rodriguez"/>
        <s v="Daniel Davis"/>
        <s v="Jennifer Smith"/>
        <s v="Sarah Johnson"/>
        <s v="Matthew Garcia"/>
        <s v="Daniel Hernandez"/>
        <s v="Michael Martinez"/>
        <s v="Jessica Wilson"/>
        <s v="David Rodriguez"/>
        <s v="Sarah Gonzalez"/>
        <s v="Matthew Smith"/>
        <s v="Emily Johnson"/>
        <s v="Daniel Brown"/>
        <s v="Jennifer Hernandez"/>
        <s v="Michael Davis"/>
        <s v="Jessica Smith"/>
        <s v="David Martinez"/>
      </sharedItems>
    </cacheField>
    <cacheField name="Ship Date" numFmtId="14">
      <sharedItems containsSemiMixedTypes="0" containsNonDate="0" containsDate="1" containsString="0" minDate="2024-01-03T00:00:00" maxDate="2024-02-09T00:00:00"/>
    </cacheField>
    <cacheField name="Retail Price (USD)" numFmtId="0">
      <sharedItems containsSemiMixedTypes="0" containsString="0" containsNumber="1" minValue="19.989999999999998" maxValue="199.99"/>
    </cacheField>
    <cacheField name="Order Quantity" numFmtId="0">
      <sharedItems containsSemiMixedTypes="0" containsString="0" containsNumber="1" containsInteger="1" minValue="1" maxValue="5" count="5">
        <n v="2"/>
        <n v="1"/>
        <n v="3"/>
        <n v="4"/>
        <n v="5"/>
      </sharedItems>
    </cacheField>
    <cacheField name="Tax (USD)" numFmtId="0">
      <sharedItems containsSemiMixedTypes="0" containsString="0" containsNumber="1" minValue="2.9990000000000001" maxValue="29.997"/>
    </cacheField>
    <cacheField name="Total (USD)" numFmtId="0">
      <sharedItems containsSemiMixedTypes="0" containsString="0" containsNumber="1" minValue="32.988999999999997" maxValue="329.96699999999998" count="13">
        <n v="109.97800000000001"/>
        <n v="32.988999999999997"/>
        <n v="329.96699999999998"/>
        <n v="87.955999999999989"/>
        <n v="164.989"/>
        <n v="175.97799999999998"/>
        <n v="131.96699999999998"/>
        <n v="153.97799999999998"/>
        <n v="98.98899999999999"/>
        <n v="219.989"/>
        <n v="164.94499999999999"/>
        <n v="164.96699999999998"/>
        <n v="142.989"/>
      </sharedItems>
    </cacheField>
    <cacheField name="Sales Amount" numFmtId="0">
      <sharedItems containsSemiMixedTypes="0" containsString="0" containsNumber="1" minValue="29.99" maxValue="299.96999999999997"/>
    </cacheField>
    <cacheField name="Month" numFmtId="0">
      <sharedItems count="2">
        <s v="Jan"/>
        <s v="Feb"/>
      </sharedItems>
    </cacheField>
    <cacheField name="Year" numFmtId="0">
      <sharedItems containsSemiMixedTypes="0" containsString="0" containsNumber="1" containsInteger="1" minValue="2024" maxValue="2024"/>
    </cacheField>
    <cacheField name="Day" numFmtId="0">
      <sharedItems/>
    </cacheField>
    <cacheField name="Days (Order Date)" numFmtId="0" databaseField="0">
      <fieldGroup base="1">
        <rangePr groupBy="days" startDate="2024-01-01T00:00:00" endDate="2024-02-05T00:00:00"/>
        <groupItems count="368">
          <s v="&lt;01-01-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5-02-2024"/>
        </groupItems>
      </fieldGroup>
    </cacheField>
    <cacheField name="Months (Order Date)" numFmtId="0" databaseField="0">
      <fieldGroup base="1">
        <rangePr groupBy="months" startDate="2024-01-01T00:00:00" endDate="2024-02-05T00:00:00"/>
        <groupItems count="14">
          <s v="&lt;01-01-2024"/>
          <s v="Jan"/>
          <s v="Feb"/>
          <s v="Mar"/>
          <s v="Apr"/>
          <s v="May"/>
          <s v="Jun"/>
          <s v="Jul"/>
          <s v="Aug"/>
          <s v="Sep"/>
          <s v="Oct"/>
          <s v="Nov"/>
          <s v="Dec"/>
          <s v="&gt;05-02-2024"/>
        </groupItems>
      </fieldGroup>
    </cacheField>
  </cacheFields>
  <extLst>
    <ext xmlns:x14="http://schemas.microsoft.com/office/spreadsheetml/2009/9/main" uri="{725AE2AE-9491-48be-B2B4-4EB974FC3084}">
      <x14:pivotCacheDefinition pivotCacheId="1438675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s v="1001"/>
    <x v="0"/>
    <x v="0"/>
    <d v="2024-01-03T00:00:00"/>
    <n v="49.99"/>
    <x v="0"/>
    <n v="9.9980000000000011"/>
    <x v="0"/>
    <n v="99.98"/>
    <x v="0"/>
    <n v="2024"/>
    <s v="Monday"/>
  </r>
  <r>
    <s v="1002"/>
    <x v="0"/>
    <x v="1"/>
    <d v="2024-01-04T00:00:00"/>
    <n v="29.99"/>
    <x v="1"/>
    <n v="2.9990000000000001"/>
    <x v="1"/>
    <n v="29.99"/>
    <x v="0"/>
    <n v="2024"/>
    <s v="Monday"/>
  </r>
  <r>
    <s v="1003"/>
    <x v="1"/>
    <x v="2"/>
    <d v="2024-01-07T00:00:00"/>
    <n v="99.99"/>
    <x v="2"/>
    <n v="29.997"/>
    <x v="2"/>
    <n v="299.96999999999997"/>
    <x v="0"/>
    <n v="2024"/>
    <s v="Tuesday"/>
  </r>
  <r>
    <s v="1004"/>
    <x v="1"/>
    <x v="3"/>
    <d v="2024-01-03T00:00:00"/>
    <n v="19.989999999999998"/>
    <x v="3"/>
    <n v="7.9959999999999996"/>
    <x v="3"/>
    <n v="79.959999999999994"/>
    <x v="0"/>
    <n v="2024"/>
    <s v="Tuesday"/>
  </r>
  <r>
    <s v="1005"/>
    <x v="2"/>
    <x v="4"/>
    <d v="2024-01-08T00:00:00"/>
    <n v="149.99"/>
    <x v="1"/>
    <n v="14.999000000000002"/>
    <x v="4"/>
    <n v="149.99"/>
    <x v="0"/>
    <n v="2024"/>
    <s v="Wednesday"/>
  </r>
  <r>
    <s v="1006"/>
    <x v="2"/>
    <x v="5"/>
    <d v="2024-01-06T00:00:00"/>
    <n v="79.989999999999995"/>
    <x v="0"/>
    <n v="15.997999999999999"/>
    <x v="5"/>
    <n v="159.97999999999999"/>
    <x v="0"/>
    <n v="2024"/>
    <s v="Wednesday"/>
  </r>
  <r>
    <s v="1007"/>
    <x v="3"/>
    <x v="6"/>
    <d v="2024-01-06T00:00:00"/>
    <n v="39.99"/>
    <x v="2"/>
    <n v="11.997"/>
    <x v="6"/>
    <n v="119.97"/>
    <x v="0"/>
    <n v="2024"/>
    <s v="Thursday"/>
  </r>
  <r>
    <s v="1008"/>
    <x v="3"/>
    <x v="7"/>
    <d v="2024-01-09T00:00:00"/>
    <n v="69.989999999999995"/>
    <x v="0"/>
    <n v="13.997999999999999"/>
    <x v="7"/>
    <n v="139.97999999999999"/>
    <x v="0"/>
    <n v="2024"/>
    <s v="Thursday"/>
  </r>
  <r>
    <s v="1009"/>
    <x v="4"/>
    <x v="8"/>
    <d v="2024-01-06T00:00:00"/>
    <n v="89.99"/>
    <x v="1"/>
    <n v="8.9990000000000006"/>
    <x v="8"/>
    <n v="89.99"/>
    <x v="0"/>
    <n v="2024"/>
    <s v="Friday"/>
  </r>
  <r>
    <s v="1010"/>
    <x v="4"/>
    <x v="9"/>
    <d v="2024-01-08T00:00:00"/>
    <n v="199.99"/>
    <x v="1"/>
    <n v="19.999000000000002"/>
    <x v="9"/>
    <n v="199.99"/>
    <x v="0"/>
    <n v="2024"/>
    <s v="Friday"/>
  </r>
  <r>
    <s v="1011"/>
    <x v="5"/>
    <x v="10"/>
    <d v="2024-01-07T00:00:00"/>
    <n v="29.99"/>
    <x v="4"/>
    <n v="14.994999999999999"/>
    <x v="10"/>
    <n v="149.94999999999999"/>
    <x v="0"/>
    <n v="2024"/>
    <s v="Saturday"/>
  </r>
  <r>
    <s v="1012"/>
    <x v="5"/>
    <x v="11"/>
    <d v="2024-01-08T00:00:00"/>
    <n v="79.989999999999995"/>
    <x v="0"/>
    <n v="15.997999999999999"/>
    <x v="5"/>
    <n v="159.97999999999999"/>
    <x v="0"/>
    <n v="2024"/>
    <s v="Saturday"/>
  </r>
  <r>
    <s v="1013"/>
    <x v="6"/>
    <x v="12"/>
    <d v="2024-01-09T00:00:00"/>
    <n v="49.99"/>
    <x v="2"/>
    <n v="14.997"/>
    <x v="11"/>
    <n v="149.97"/>
    <x v="0"/>
    <n v="2024"/>
    <s v="Sunday"/>
  </r>
  <r>
    <s v="1014"/>
    <x v="6"/>
    <x v="13"/>
    <d v="2024-01-12T00:00:00"/>
    <n v="129.99"/>
    <x v="1"/>
    <n v="12.999000000000002"/>
    <x v="12"/>
    <n v="129.99"/>
    <x v="0"/>
    <n v="2024"/>
    <s v="Sunday"/>
  </r>
  <r>
    <s v="1015"/>
    <x v="7"/>
    <x v="14"/>
    <d v="2024-01-13T00:00:00"/>
    <n v="19.989999999999998"/>
    <x v="3"/>
    <n v="7.9959999999999996"/>
    <x v="3"/>
    <n v="79.959999999999994"/>
    <x v="0"/>
    <n v="2024"/>
    <s v="Monday"/>
  </r>
  <r>
    <s v="1016"/>
    <x v="7"/>
    <x v="15"/>
    <d v="2024-01-12T00:00:00"/>
    <n v="149.99"/>
    <x v="1"/>
    <n v="14.999000000000002"/>
    <x v="4"/>
    <n v="149.99"/>
    <x v="0"/>
    <n v="2024"/>
    <s v="Monday"/>
  </r>
  <r>
    <s v="1017"/>
    <x v="8"/>
    <x v="16"/>
    <d v="2024-01-14T00:00:00"/>
    <n v="69.989999999999995"/>
    <x v="0"/>
    <n v="13.997999999999999"/>
    <x v="7"/>
    <n v="139.97999999999999"/>
    <x v="0"/>
    <n v="2024"/>
    <s v="Tuesday"/>
  </r>
  <r>
    <s v="1018"/>
    <x v="8"/>
    <x v="17"/>
    <d v="2024-01-12T00:00:00"/>
    <n v="39.99"/>
    <x v="2"/>
    <n v="11.997"/>
    <x v="6"/>
    <n v="119.97"/>
    <x v="0"/>
    <n v="2024"/>
    <s v="Tuesday"/>
  </r>
  <r>
    <s v="1019"/>
    <x v="9"/>
    <x v="18"/>
    <d v="2024-01-11T00:00:00"/>
    <n v="199.99"/>
    <x v="1"/>
    <n v="19.999000000000002"/>
    <x v="9"/>
    <n v="199.99"/>
    <x v="0"/>
    <n v="2024"/>
    <s v="Wednesday"/>
  </r>
  <r>
    <s v="1020"/>
    <x v="9"/>
    <x v="19"/>
    <d v="2024-01-14T00:00:00"/>
    <n v="29.99"/>
    <x v="4"/>
    <n v="14.994999999999999"/>
    <x v="10"/>
    <n v="149.94999999999999"/>
    <x v="0"/>
    <n v="2024"/>
    <s v="Wednesday"/>
  </r>
  <r>
    <s v="1021"/>
    <x v="10"/>
    <x v="20"/>
    <d v="2024-01-14T00:00:00"/>
    <n v="79.989999999999995"/>
    <x v="0"/>
    <n v="15.997999999999999"/>
    <x v="5"/>
    <n v="159.97999999999999"/>
    <x v="0"/>
    <n v="2024"/>
    <s v="Thursday"/>
  </r>
  <r>
    <s v="1022"/>
    <x v="10"/>
    <x v="21"/>
    <d v="2024-01-15T00:00:00"/>
    <n v="49.99"/>
    <x v="2"/>
    <n v="14.997"/>
    <x v="11"/>
    <n v="149.97"/>
    <x v="0"/>
    <n v="2024"/>
    <s v="Thursday"/>
  </r>
  <r>
    <s v="1023"/>
    <x v="11"/>
    <x v="22"/>
    <d v="2024-01-17T00:00:00"/>
    <n v="129.99"/>
    <x v="1"/>
    <n v="12.999000000000002"/>
    <x v="12"/>
    <n v="129.99"/>
    <x v="0"/>
    <n v="2024"/>
    <s v="Friday"/>
  </r>
  <r>
    <s v="1024"/>
    <x v="11"/>
    <x v="23"/>
    <d v="2024-01-17T00:00:00"/>
    <n v="19.989999999999998"/>
    <x v="3"/>
    <n v="7.9959999999999996"/>
    <x v="3"/>
    <n v="79.959999999999994"/>
    <x v="0"/>
    <n v="2024"/>
    <s v="Friday"/>
  </r>
  <r>
    <s v="1025"/>
    <x v="12"/>
    <x v="4"/>
    <d v="2024-01-17T00:00:00"/>
    <n v="149.99"/>
    <x v="1"/>
    <n v="14.999000000000002"/>
    <x v="4"/>
    <n v="149.99"/>
    <x v="0"/>
    <n v="2024"/>
    <s v="Saturday"/>
  </r>
  <r>
    <s v="1026"/>
    <x v="12"/>
    <x v="24"/>
    <d v="2024-01-14T00:00:00"/>
    <n v="69.989999999999995"/>
    <x v="0"/>
    <n v="13.997999999999999"/>
    <x v="7"/>
    <n v="139.97999999999999"/>
    <x v="0"/>
    <n v="2024"/>
    <s v="Saturday"/>
  </r>
  <r>
    <s v="1027"/>
    <x v="13"/>
    <x v="25"/>
    <d v="2024-01-18T00:00:00"/>
    <n v="39.99"/>
    <x v="2"/>
    <n v="11.997"/>
    <x v="6"/>
    <n v="119.97"/>
    <x v="0"/>
    <n v="2024"/>
    <s v="Sunday"/>
  </r>
  <r>
    <s v="1028"/>
    <x v="13"/>
    <x v="26"/>
    <d v="2024-01-19T00:00:00"/>
    <n v="199.99"/>
    <x v="1"/>
    <n v="19.999000000000002"/>
    <x v="9"/>
    <n v="199.99"/>
    <x v="0"/>
    <n v="2024"/>
    <s v="Sunday"/>
  </r>
  <r>
    <s v="1029"/>
    <x v="14"/>
    <x v="27"/>
    <d v="2024-01-19T00:00:00"/>
    <n v="29.99"/>
    <x v="4"/>
    <n v="14.994999999999999"/>
    <x v="10"/>
    <n v="149.94999999999999"/>
    <x v="0"/>
    <n v="2024"/>
    <s v="Monday"/>
  </r>
  <r>
    <s v="1030"/>
    <x v="14"/>
    <x v="28"/>
    <d v="2024-01-19T00:00:00"/>
    <n v="79.989999999999995"/>
    <x v="0"/>
    <n v="15.997999999999999"/>
    <x v="5"/>
    <n v="159.97999999999999"/>
    <x v="0"/>
    <n v="2024"/>
    <s v="Monday"/>
  </r>
  <r>
    <s v="1031"/>
    <x v="15"/>
    <x v="29"/>
    <d v="2024-01-19T00:00:00"/>
    <n v="49.99"/>
    <x v="2"/>
    <n v="14.997"/>
    <x v="11"/>
    <n v="149.97"/>
    <x v="0"/>
    <n v="2024"/>
    <s v="Tuesday"/>
  </r>
  <r>
    <s v="1032"/>
    <x v="15"/>
    <x v="30"/>
    <d v="2024-01-17T00:00:00"/>
    <n v="129.99"/>
    <x v="1"/>
    <n v="12.999000000000002"/>
    <x v="12"/>
    <n v="129.99"/>
    <x v="0"/>
    <n v="2024"/>
    <s v="Tuesday"/>
  </r>
  <r>
    <s v="1033"/>
    <x v="16"/>
    <x v="31"/>
    <d v="2024-01-19T00:00:00"/>
    <n v="19.989999999999998"/>
    <x v="3"/>
    <n v="7.9959999999999996"/>
    <x v="3"/>
    <n v="79.959999999999994"/>
    <x v="0"/>
    <n v="2024"/>
    <s v="Wednesday"/>
  </r>
  <r>
    <s v="1034"/>
    <x v="16"/>
    <x v="32"/>
    <d v="2024-01-19T00:00:00"/>
    <n v="149.99"/>
    <x v="1"/>
    <n v="14.999000000000002"/>
    <x v="4"/>
    <n v="149.99"/>
    <x v="0"/>
    <n v="2024"/>
    <s v="Wednesday"/>
  </r>
  <r>
    <s v="1035"/>
    <x v="17"/>
    <x v="33"/>
    <d v="2024-01-23T00:00:00"/>
    <n v="69.989999999999995"/>
    <x v="0"/>
    <n v="13.997999999999999"/>
    <x v="7"/>
    <n v="139.97999999999999"/>
    <x v="0"/>
    <n v="2024"/>
    <s v="Thursday"/>
  </r>
  <r>
    <s v="1036"/>
    <x v="17"/>
    <x v="34"/>
    <d v="2024-01-19T00:00:00"/>
    <n v="39.99"/>
    <x v="2"/>
    <n v="11.997"/>
    <x v="6"/>
    <n v="119.97"/>
    <x v="0"/>
    <n v="2024"/>
    <s v="Thursday"/>
  </r>
  <r>
    <s v="1037"/>
    <x v="18"/>
    <x v="35"/>
    <d v="2024-01-20T00:00:00"/>
    <n v="199.99"/>
    <x v="1"/>
    <n v="19.999000000000002"/>
    <x v="9"/>
    <n v="199.99"/>
    <x v="0"/>
    <n v="2024"/>
    <s v="Friday"/>
  </r>
  <r>
    <s v="1038"/>
    <x v="18"/>
    <x v="36"/>
    <d v="2024-01-22T00:00:00"/>
    <n v="29.99"/>
    <x v="4"/>
    <n v="14.994999999999999"/>
    <x v="10"/>
    <n v="149.94999999999999"/>
    <x v="0"/>
    <n v="2024"/>
    <s v="Friday"/>
  </r>
  <r>
    <s v="1039"/>
    <x v="19"/>
    <x v="2"/>
    <d v="2024-01-24T00:00:00"/>
    <n v="79.989999999999995"/>
    <x v="0"/>
    <n v="15.997999999999999"/>
    <x v="5"/>
    <n v="159.97999999999999"/>
    <x v="0"/>
    <n v="2024"/>
    <s v="Saturday"/>
  </r>
  <r>
    <s v="1040"/>
    <x v="19"/>
    <x v="23"/>
    <d v="2024-01-21T00:00:00"/>
    <n v="49.99"/>
    <x v="2"/>
    <n v="14.997"/>
    <x v="11"/>
    <n v="149.97"/>
    <x v="0"/>
    <n v="2024"/>
    <s v="Saturday"/>
  </r>
  <r>
    <s v="1041"/>
    <x v="20"/>
    <x v="4"/>
    <d v="2024-01-26T00:00:00"/>
    <n v="129.99"/>
    <x v="1"/>
    <n v="12.999000000000002"/>
    <x v="12"/>
    <n v="129.99"/>
    <x v="0"/>
    <n v="2024"/>
    <s v="Sunday"/>
  </r>
  <r>
    <s v="1042"/>
    <x v="20"/>
    <x v="37"/>
    <d v="2024-01-23T00:00:00"/>
    <n v="19.989999999999998"/>
    <x v="3"/>
    <n v="7.9959999999999996"/>
    <x v="3"/>
    <n v="79.959999999999994"/>
    <x v="0"/>
    <n v="2024"/>
    <s v="Sunday"/>
  </r>
  <r>
    <s v="1043"/>
    <x v="21"/>
    <x v="38"/>
    <d v="2024-01-25T00:00:00"/>
    <n v="149.99"/>
    <x v="1"/>
    <n v="14.999000000000002"/>
    <x v="4"/>
    <n v="149.99"/>
    <x v="0"/>
    <n v="2024"/>
    <s v="Monday"/>
  </r>
  <r>
    <s v="1044"/>
    <x v="21"/>
    <x v="3"/>
    <d v="2024-01-25T00:00:00"/>
    <n v="69.989999999999995"/>
    <x v="0"/>
    <n v="13.997999999999999"/>
    <x v="7"/>
    <n v="139.97999999999999"/>
    <x v="0"/>
    <n v="2024"/>
    <s v="Monday"/>
  </r>
  <r>
    <s v="1045"/>
    <x v="22"/>
    <x v="39"/>
    <d v="2024-01-27T00:00:00"/>
    <n v="39.99"/>
    <x v="2"/>
    <n v="11.997"/>
    <x v="6"/>
    <n v="119.97"/>
    <x v="0"/>
    <n v="2024"/>
    <s v="Tuesday"/>
  </r>
  <r>
    <s v="1046"/>
    <x v="22"/>
    <x v="19"/>
    <d v="2024-01-26T00:00:00"/>
    <n v="199.99"/>
    <x v="1"/>
    <n v="19.999000000000002"/>
    <x v="9"/>
    <n v="199.99"/>
    <x v="0"/>
    <n v="2024"/>
    <s v="Tuesday"/>
  </r>
  <r>
    <s v="1047"/>
    <x v="23"/>
    <x v="40"/>
    <d v="2024-01-25T00:00:00"/>
    <n v="29.99"/>
    <x v="4"/>
    <n v="14.994999999999999"/>
    <x v="10"/>
    <n v="149.94999999999999"/>
    <x v="0"/>
    <n v="2024"/>
    <s v="Wednesday"/>
  </r>
  <r>
    <s v="1048"/>
    <x v="23"/>
    <x v="41"/>
    <d v="2024-01-26T00:00:00"/>
    <n v="79.989999999999995"/>
    <x v="0"/>
    <n v="15.997999999999999"/>
    <x v="5"/>
    <n v="159.97999999999999"/>
    <x v="0"/>
    <n v="2024"/>
    <s v="Wednesday"/>
  </r>
  <r>
    <s v="1049"/>
    <x v="24"/>
    <x v="42"/>
    <d v="2024-01-30T00:00:00"/>
    <n v="49.99"/>
    <x v="2"/>
    <n v="14.997"/>
    <x v="11"/>
    <n v="149.97"/>
    <x v="0"/>
    <n v="2024"/>
    <s v="Thursday"/>
  </r>
  <r>
    <s v="1050"/>
    <x v="24"/>
    <x v="43"/>
    <d v="2024-01-27T00:00:00"/>
    <n v="129.99"/>
    <x v="1"/>
    <n v="12.999000000000002"/>
    <x v="12"/>
    <n v="129.99"/>
    <x v="0"/>
    <n v="2024"/>
    <s v="Thursday"/>
  </r>
  <r>
    <s v="1051"/>
    <x v="25"/>
    <x v="44"/>
    <d v="2024-01-29T00:00:00"/>
    <n v="19.989999999999998"/>
    <x v="3"/>
    <n v="7.9959999999999996"/>
    <x v="3"/>
    <n v="79.959999999999994"/>
    <x v="0"/>
    <n v="2024"/>
    <s v="Friday"/>
  </r>
  <r>
    <s v="1052"/>
    <x v="25"/>
    <x v="45"/>
    <d v="2024-01-28T00:00:00"/>
    <n v="149.99"/>
    <x v="1"/>
    <n v="14.999000000000002"/>
    <x v="4"/>
    <n v="149.99"/>
    <x v="0"/>
    <n v="2024"/>
    <s v="Friday"/>
  </r>
  <r>
    <s v="1053"/>
    <x v="26"/>
    <x v="46"/>
    <d v="2024-01-31T00:00:00"/>
    <n v="69.989999999999995"/>
    <x v="0"/>
    <n v="13.997999999999999"/>
    <x v="7"/>
    <n v="139.97999999999999"/>
    <x v="0"/>
    <n v="2024"/>
    <s v="Saturday"/>
  </r>
  <r>
    <s v="1054"/>
    <x v="26"/>
    <x v="47"/>
    <d v="2024-01-31T00:00:00"/>
    <n v="39.99"/>
    <x v="2"/>
    <n v="11.997"/>
    <x v="6"/>
    <n v="119.97"/>
    <x v="0"/>
    <n v="2024"/>
    <s v="Saturday"/>
  </r>
  <r>
    <s v="1055"/>
    <x v="27"/>
    <x v="48"/>
    <d v="2024-01-29T00:00:00"/>
    <n v="199.99"/>
    <x v="1"/>
    <n v="19.999000000000002"/>
    <x v="9"/>
    <n v="199.99"/>
    <x v="0"/>
    <n v="2024"/>
    <s v="Sunday"/>
  </r>
  <r>
    <s v="1056"/>
    <x v="27"/>
    <x v="49"/>
    <d v="2024-01-29T00:00:00"/>
    <n v="29.99"/>
    <x v="4"/>
    <n v="14.994999999999999"/>
    <x v="10"/>
    <n v="149.94999999999999"/>
    <x v="0"/>
    <n v="2024"/>
    <s v="Sunday"/>
  </r>
  <r>
    <s v="1057"/>
    <x v="28"/>
    <x v="50"/>
    <d v="2024-01-30T00:00:00"/>
    <n v="79.989999999999995"/>
    <x v="0"/>
    <n v="15.997999999999999"/>
    <x v="5"/>
    <n v="159.97999999999999"/>
    <x v="0"/>
    <n v="2024"/>
    <s v="Monday"/>
  </r>
  <r>
    <s v="1058"/>
    <x v="28"/>
    <x v="37"/>
    <d v="2024-01-31T00:00:00"/>
    <n v="49.99"/>
    <x v="2"/>
    <n v="14.997"/>
    <x v="11"/>
    <n v="149.97"/>
    <x v="0"/>
    <n v="2024"/>
    <s v="Monday"/>
  </r>
  <r>
    <s v="1059"/>
    <x v="29"/>
    <x v="38"/>
    <d v="2024-01-31T00:00:00"/>
    <n v="129.99"/>
    <x v="1"/>
    <n v="12.999000000000002"/>
    <x v="12"/>
    <n v="129.99"/>
    <x v="0"/>
    <n v="2024"/>
    <s v="Tuesday"/>
  </r>
  <r>
    <s v="1060"/>
    <x v="29"/>
    <x v="3"/>
    <d v="2024-02-01T00:00:00"/>
    <n v="19.989999999999998"/>
    <x v="3"/>
    <n v="7.9959999999999996"/>
    <x v="3"/>
    <n v="79.959999999999994"/>
    <x v="0"/>
    <n v="2024"/>
    <s v="Tuesday"/>
  </r>
  <r>
    <s v="1061"/>
    <x v="30"/>
    <x v="39"/>
    <d v="2024-02-02T00:00:00"/>
    <n v="149.99"/>
    <x v="1"/>
    <n v="14.999000000000002"/>
    <x v="4"/>
    <n v="149.99"/>
    <x v="0"/>
    <n v="2024"/>
    <s v="Wednesday"/>
  </r>
  <r>
    <s v="1062"/>
    <x v="30"/>
    <x v="19"/>
    <d v="2024-02-04T00:00:00"/>
    <n v="69.989999999999995"/>
    <x v="0"/>
    <n v="13.997999999999999"/>
    <x v="7"/>
    <n v="139.97999999999999"/>
    <x v="0"/>
    <n v="2024"/>
    <s v="Wednesday"/>
  </r>
  <r>
    <s v="1063"/>
    <x v="31"/>
    <x v="40"/>
    <d v="2024-02-02T00:00:00"/>
    <n v="39.99"/>
    <x v="2"/>
    <n v="11.997"/>
    <x v="6"/>
    <n v="119.97"/>
    <x v="1"/>
    <n v="2024"/>
    <s v="Thursday"/>
  </r>
  <r>
    <s v="1064"/>
    <x v="31"/>
    <x v="41"/>
    <d v="2024-02-05T00:00:00"/>
    <n v="199.99"/>
    <x v="1"/>
    <n v="19.999000000000002"/>
    <x v="9"/>
    <n v="199.99"/>
    <x v="1"/>
    <n v="2024"/>
    <s v="Thursday"/>
  </r>
  <r>
    <s v="1065"/>
    <x v="31"/>
    <x v="42"/>
    <d v="2024-02-03T00:00:00"/>
    <n v="29.99"/>
    <x v="4"/>
    <n v="14.994999999999999"/>
    <x v="10"/>
    <n v="149.94999999999999"/>
    <x v="1"/>
    <n v="2024"/>
    <s v="Thursday"/>
  </r>
  <r>
    <s v="1066"/>
    <x v="32"/>
    <x v="43"/>
    <d v="2024-02-06T00:00:00"/>
    <n v="79.989999999999995"/>
    <x v="0"/>
    <n v="15.997999999999999"/>
    <x v="5"/>
    <n v="159.97999999999999"/>
    <x v="1"/>
    <n v="2024"/>
    <s v="Friday"/>
  </r>
  <r>
    <s v="1067"/>
    <x v="33"/>
    <x v="44"/>
    <d v="2024-02-06T00:00:00"/>
    <n v="49.99"/>
    <x v="2"/>
    <n v="14.997"/>
    <x v="11"/>
    <n v="149.97"/>
    <x v="1"/>
    <n v="2024"/>
    <s v="Saturday"/>
  </r>
  <r>
    <s v="1068"/>
    <x v="34"/>
    <x v="45"/>
    <d v="2024-02-05T00:00:00"/>
    <n v="129.99"/>
    <x v="1"/>
    <n v="12.999000000000002"/>
    <x v="12"/>
    <n v="129.99"/>
    <x v="1"/>
    <n v="2024"/>
    <s v="Sunday"/>
  </r>
  <r>
    <s v="1069"/>
    <x v="34"/>
    <x v="46"/>
    <d v="2024-02-08T00:00:00"/>
    <n v="19.989999999999998"/>
    <x v="3"/>
    <n v="7.9959999999999996"/>
    <x v="3"/>
    <n v="79.959999999999994"/>
    <x v="1"/>
    <n v="2024"/>
    <s v="Sunday"/>
  </r>
  <r>
    <s v="1070"/>
    <x v="34"/>
    <x v="47"/>
    <d v="2024-02-07T00:00:00"/>
    <n v="149.99"/>
    <x v="1"/>
    <n v="14.999000000000002"/>
    <x v="4"/>
    <n v="149.99"/>
    <x v="1"/>
    <n v="2024"/>
    <s v="Sunda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40DE56-B4E3-4FDB-8C7D-362222A81024}"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I5:J57" firstHeaderRow="1" firstDataRow="1" firstDataCol="1"/>
  <pivotFields count="14">
    <pivotField showAll="0"/>
    <pivotField numFmtId="14" showAll="0">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t="default"/>
      </items>
    </pivotField>
    <pivotField axis="axisRow" showAll="0" sortType="descending">
      <items count="52">
        <item x="10"/>
        <item x="24"/>
        <item x="37"/>
        <item x="43"/>
        <item x="32"/>
        <item x="7"/>
        <item x="12"/>
        <item x="29"/>
        <item x="40"/>
        <item x="2"/>
        <item x="20"/>
        <item x="48"/>
        <item x="11"/>
        <item x="14"/>
        <item x="44"/>
        <item x="25"/>
        <item x="33"/>
        <item x="38"/>
        <item x="5"/>
        <item x="17"/>
        <item x="9"/>
        <item x="0"/>
        <item x="41"/>
        <item x="49"/>
        <item x="23"/>
        <item x="30"/>
        <item x="13"/>
        <item x="36"/>
        <item x="28"/>
        <item x="47"/>
        <item x="19"/>
        <item x="1"/>
        <item x="16"/>
        <item x="34"/>
        <item x="45"/>
        <item x="26"/>
        <item x="3"/>
        <item x="4"/>
        <item x="42"/>
        <item x="50"/>
        <item x="31"/>
        <item x="27"/>
        <item x="18"/>
        <item x="6"/>
        <item x="39"/>
        <item x="35"/>
        <item x="46"/>
        <item x="8"/>
        <item x="22"/>
        <item x="21"/>
        <item x="15"/>
        <item t="default"/>
      </items>
    </pivotField>
    <pivotField numFmtId="14" showAll="0"/>
    <pivotField showAll="0"/>
    <pivotField showAll="0"/>
    <pivotField showAll="0"/>
    <pivotField dataField="1" showAll="0"/>
    <pivotField showAll="0"/>
    <pivotField showAll="0">
      <items count="3">
        <item x="0"/>
        <item x="1"/>
        <item t="default"/>
      </items>
    </pivotField>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Sum of Total (USD)" fld="7"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6425E9-FD5D-4DD0-B329-78E9748F76C2}"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M31:AN34" firstHeaderRow="1" firstDataRow="1" firstDataCol="1"/>
  <pivotFields count="14">
    <pivotField showAll="0"/>
    <pivotField numFmtId="14" showAll="0">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t="default"/>
      </items>
    </pivotField>
    <pivotField showAll="0">
      <items count="52">
        <item x="15"/>
        <item x="21"/>
        <item x="22"/>
        <item x="8"/>
        <item x="46"/>
        <item x="35"/>
        <item x="39"/>
        <item x="6"/>
        <item x="18"/>
        <item x="27"/>
        <item x="31"/>
        <item x="50"/>
        <item x="42"/>
        <item x="4"/>
        <item x="3"/>
        <item x="26"/>
        <item x="45"/>
        <item x="34"/>
        <item x="16"/>
        <item x="1"/>
        <item x="19"/>
        <item x="47"/>
        <item x="28"/>
        <item x="36"/>
        <item x="13"/>
        <item x="30"/>
        <item x="23"/>
        <item x="49"/>
        <item x="41"/>
        <item x="0"/>
        <item x="9"/>
        <item x="17"/>
        <item x="5"/>
        <item x="38"/>
        <item x="33"/>
        <item x="25"/>
        <item x="44"/>
        <item x="14"/>
        <item x="11"/>
        <item x="48"/>
        <item x="20"/>
        <item x="2"/>
        <item x="40"/>
        <item x="29"/>
        <item x="12"/>
        <item x="7"/>
        <item x="32"/>
        <item x="43"/>
        <item x="37"/>
        <item x="24"/>
        <item x="10"/>
        <item t="default"/>
      </items>
    </pivotField>
    <pivotField numFmtId="14" showAll="0"/>
    <pivotField showAll="0"/>
    <pivotField showAll="0"/>
    <pivotField showAll="0"/>
    <pivotField dataField="1" showAll="0"/>
    <pivotField showAll="0"/>
    <pivotField axis="axisRow" showAll="0">
      <items count="3">
        <item x="0"/>
        <item x="1"/>
        <item t="default"/>
      </items>
    </pivotField>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9"/>
  </rowFields>
  <rowItems count="3">
    <i>
      <x/>
    </i>
    <i>
      <x v="1"/>
    </i>
    <i t="grand">
      <x/>
    </i>
  </rowItems>
  <colItems count="1">
    <i/>
  </colItems>
  <dataFields count="1">
    <dataField name="Sum of Total (USD)" fld="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71F491-C6BC-4B54-A3E0-A9C1DBA7725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6" firstHeaderRow="1" firstDataRow="1" firstDataCol="1"/>
  <pivotFields count="14">
    <pivotField showAll="0"/>
    <pivotField numFmtId="14" showAll="0">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t="default"/>
      </items>
    </pivotField>
    <pivotField showAll="0">
      <items count="52">
        <item x="15"/>
        <item x="21"/>
        <item x="22"/>
        <item x="8"/>
        <item x="46"/>
        <item x="35"/>
        <item x="39"/>
        <item x="6"/>
        <item x="18"/>
        <item x="27"/>
        <item x="31"/>
        <item x="50"/>
        <item x="42"/>
        <item x="4"/>
        <item x="3"/>
        <item x="26"/>
        <item x="45"/>
        <item x="34"/>
        <item x="16"/>
        <item x="1"/>
        <item x="19"/>
        <item x="47"/>
        <item x="28"/>
        <item x="36"/>
        <item x="13"/>
        <item x="30"/>
        <item x="23"/>
        <item x="49"/>
        <item x="41"/>
        <item x="0"/>
        <item x="9"/>
        <item x="17"/>
        <item x="5"/>
        <item x="38"/>
        <item x="33"/>
        <item x="25"/>
        <item x="44"/>
        <item x="14"/>
        <item x="11"/>
        <item x="48"/>
        <item x="20"/>
        <item x="2"/>
        <item x="40"/>
        <item x="29"/>
        <item x="12"/>
        <item x="7"/>
        <item x="32"/>
        <item x="43"/>
        <item x="37"/>
        <item x="24"/>
        <item x="10"/>
        <item t="default"/>
      </items>
    </pivotField>
    <pivotField numFmtId="14" showAll="0"/>
    <pivotField showAll="0"/>
    <pivotField showAll="0"/>
    <pivotField showAll="0"/>
    <pivotField dataField="1" showAll="0"/>
    <pivotField showAll="0"/>
    <pivotField axis="axisRow" showAll="0">
      <items count="3">
        <item x="0"/>
        <item x="1"/>
        <item t="default"/>
      </items>
    </pivotField>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3">
    <i>
      <x/>
    </i>
    <i>
      <x v="1"/>
    </i>
    <i t="grand">
      <x/>
    </i>
  </rowItems>
  <colItems count="1">
    <i/>
  </colItems>
  <dataFields count="1">
    <dataField name="Sum of Total (USD)"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221CEC9-2E5A-40C1-AF5C-652007F9F8D7}"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Q21:R57" firstHeaderRow="1" firstDataRow="1" firstDataCol="1"/>
  <pivotFields count="14">
    <pivotField showAll="0"/>
    <pivotField axis="axisRow" numFmtId="14" showAll="0">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t="default"/>
      </items>
    </pivotField>
    <pivotField showAll="0">
      <items count="52">
        <item x="15"/>
        <item x="21"/>
        <item x="22"/>
        <item x="8"/>
        <item x="46"/>
        <item x="35"/>
        <item x="39"/>
        <item x="6"/>
        <item x="18"/>
        <item x="27"/>
        <item x="31"/>
        <item x="50"/>
        <item x="42"/>
        <item x="4"/>
        <item x="3"/>
        <item x="26"/>
        <item x="45"/>
        <item x="34"/>
        <item x="16"/>
        <item x="1"/>
        <item x="19"/>
        <item x="47"/>
        <item x="28"/>
        <item x="36"/>
        <item x="13"/>
        <item x="30"/>
        <item x="23"/>
        <item x="49"/>
        <item x="41"/>
        <item x="0"/>
        <item x="9"/>
        <item x="17"/>
        <item x="5"/>
        <item x="38"/>
        <item x="33"/>
        <item x="25"/>
        <item x="44"/>
        <item x="14"/>
        <item x="11"/>
        <item x="48"/>
        <item x="20"/>
        <item x="2"/>
        <item x="40"/>
        <item x="29"/>
        <item x="12"/>
        <item x="7"/>
        <item x="32"/>
        <item x="43"/>
        <item x="37"/>
        <item x="24"/>
        <item x="10"/>
        <item t="default"/>
      </items>
    </pivotField>
    <pivotField numFmtId="14" showAll="0"/>
    <pivotField showAll="0"/>
    <pivotField showAll="0"/>
    <pivotField showAll="0"/>
    <pivotField dataField="1" showAll="0"/>
    <pivotField showAll="0"/>
    <pivotField showAll="0">
      <items count="3">
        <item x="0"/>
        <item x="1"/>
        <item t="default"/>
      </items>
    </pivotField>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t="grand">
      <x/>
    </i>
  </rowItems>
  <colItems count="1">
    <i/>
  </colItems>
  <dataFields count="1">
    <dataField name="Sum of Total (USD)" fld="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5E71F5F-ECE0-4413-959D-43A13179863C}"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U2:V38" firstHeaderRow="1" firstDataRow="1" firstDataCol="1"/>
  <pivotFields count="14">
    <pivotField showAll="0"/>
    <pivotField axis="axisRow" numFmtId="14" showAll="0">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t="default"/>
      </items>
    </pivotField>
    <pivotField showAll="0">
      <items count="52">
        <item x="15"/>
        <item x="21"/>
        <item x="22"/>
        <item x="8"/>
        <item x="46"/>
        <item x="35"/>
        <item x="39"/>
        <item x="6"/>
        <item x="18"/>
        <item x="27"/>
        <item x="31"/>
        <item x="50"/>
        <item x="42"/>
        <item x="4"/>
        <item x="3"/>
        <item x="26"/>
        <item x="45"/>
        <item x="34"/>
        <item x="16"/>
        <item x="1"/>
        <item x="19"/>
        <item x="47"/>
        <item x="28"/>
        <item x="36"/>
        <item x="13"/>
        <item x="30"/>
        <item x="23"/>
        <item x="49"/>
        <item x="41"/>
        <item x="0"/>
        <item x="9"/>
        <item x="17"/>
        <item x="5"/>
        <item x="38"/>
        <item x="33"/>
        <item x="25"/>
        <item x="44"/>
        <item x="14"/>
        <item x="11"/>
        <item x="48"/>
        <item x="20"/>
        <item x="2"/>
        <item x="40"/>
        <item x="29"/>
        <item x="12"/>
        <item x="7"/>
        <item x="32"/>
        <item x="43"/>
        <item x="37"/>
        <item x="24"/>
        <item x="10"/>
        <item t="default"/>
      </items>
    </pivotField>
    <pivotField numFmtId="14" showAll="0"/>
    <pivotField showAll="0"/>
    <pivotField showAll="0"/>
    <pivotField showAll="0"/>
    <pivotField dataField="1" showAll="0"/>
    <pivotField showAll="0"/>
    <pivotField showAll="0">
      <items count="3">
        <item x="0"/>
        <item x="1"/>
        <item t="default"/>
      </items>
    </pivotField>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1"/>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t="grand">
      <x/>
    </i>
  </rowItems>
  <colItems count="1">
    <i/>
  </colItems>
  <dataFields count="1">
    <dataField name="Sum of Total (USD)" fld="7" baseField="0" baseItem="0"/>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912AA69-6E3D-4D41-B41D-6BAFF408B5A2}"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Q20:AQ21" firstHeaderRow="1" firstDataRow="1" firstDataCol="0"/>
  <pivotFields count="14">
    <pivotField showAll="0"/>
    <pivotField numFmtId="14" showAll="0">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t="default"/>
      </items>
    </pivotField>
    <pivotField showAll="0">
      <items count="52">
        <item x="15"/>
        <item x="21"/>
        <item x="22"/>
        <item x="8"/>
        <item x="46"/>
        <item x="35"/>
        <item x="39"/>
        <item x="6"/>
        <item x="18"/>
        <item x="27"/>
        <item x="31"/>
        <item x="50"/>
        <item x="42"/>
        <item x="4"/>
        <item x="3"/>
        <item x="26"/>
        <item x="45"/>
        <item x="34"/>
        <item x="16"/>
        <item x="1"/>
        <item x="19"/>
        <item x="47"/>
        <item x="28"/>
        <item x="36"/>
        <item x="13"/>
        <item x="30"/>
        <item x="23"/>
        <item x="49"/>
        <item x="41"/>
        <item x="0"/>
        <item x="9"/>
        <item x="17"/>
        <item x="5"/>
        <item x="38"/>
        <item x="33"/>
        <item x="25"/>
        <item x="44"/>
        <item x="14"/>
        <item x="11"/>
        <item x="48"/>
        <item x="20"/>
        <item x="2"/>
        <item x="40"/>
        <item x="29"/>
        <item x="12"/>
        <item x="7"/>
        <item x="32"/>
        <item x="43"/>
        <item x="37"/>
        <item x="24"/>
        <item x="10"/>
        <item t="default"/>
      </items>
    </pivotField>
    <pivotField numFmtId="14" showAll="0"/>
    <pivotField showAll="0"/>
    <pivotField showAll="0"/>
    <pivotField showAll="0"/>
    <pivotField dataField="1" showAll="0"/>
    <pivotField showAll="0"/>
    <pivotField showAll="0">
      <items count="3">
        <item x="0"/>
        <item x="1"/>
        <item t="default"/>
      </items>
    </pivotField>
    <pivotField showAll="0"/>
    <pivotField showAll="0"/>
    <pivotField showAll="0" defaultSubtotal="0"/>
    <pivotField showAll="0" defaultSubtotal="0">
      <items count="14">
        <item x="0"/>
        <item x="1"/>
        <item x="2"/>
        <item x="3"/>
        <item x="4"/>
        <item x="5"/>
        <item x="6"/>
        <item x="7"/>
        <item x="8"/>
        <item x="9"/>
        <item x="10"/>
        <item x="11"/>
        <item x="12"/>
        <item x="13"/>
      </items>
    </pivotField>
  </pivotFields>
  <rowItems count="1">
    <i/>
  </rowItems>
  <colItems count="1">
    <i/>
  </colItems>
  <dataFields count="1">
    <dataField name="Sum of Total (USD)"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C4401D4-6367-4DCC-8AA7-3CDE3B772BC5}"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B6:AB182" firstHeaderRow="1" firstDataRow="1" firstDataCol="1"/>
  <pivotFields count="14">
    <pivotField showAll="0"/>
    <pivotField axis="axisRow" numFmtId="14" showAll="0">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t="default"/>
      </items>
    </pivotField>
    <pivotField axis="axisRow" showAll="0">
      <items count="52">
        <item x="15"/>
        <item x="21"/>
        <item x="22"/>
        <item x="8"/>
        <item x="46"/>
        <item x="35"/>
        <item x="39"/>
        <item x="6"/>
        <item x="18"/>
        <item x="27"/>
        <item x="31"/>
        <item x="50"/>
        <item x="42"/>
        <item x="4"/>
        <item x="3"/>
        <item x="26"/>
        <item x="45"/>
        <item x="34"/>
        <item x="16"/>
        <item x="1"/>
        <item x="19"/>
        <item x="47"/>
        <item x="28"/>
        <item x="36"/>
        <item x="13"/>
        <item x="30"/>
        <item x="23"/>
        <item x="49"/>
        <item x="41"/>
        <item x="0"/>
        <item x="9"/>
        <item x="17"/>
        <item x="5"/>
        <item x="38"/>
        <item x="33"/>
        <item x="25"/>
        <item x="44"/>
        <item x="14"/>
        <item x="11"/>
        <item x="48"/>
        <item x="20"/>
        <item x="2"/>
        <item x="40"/>
        <item x="29"/>
        <item x="12"/>
        <item x="7"/>
        <item x="32"/>
        <item x="43"/>
        <item x="37"/>
        <item x="24"/>
        <item x="10"/>
        <item t="default"/>
      </items>
    </pivotField>
    <pivotField numFmtId="14" showAll="0"/>
    <pivotField showAll="0"/>
    <pivotField showAll="0"/>
    <pivotField showAll="0"/>
    <pivotField showAll="0"/>
    <pivotField showAll="0"/>
    <pivotField axis="axisRow" showAll="0">
      <items count="3">
        <item x="0"/>
        <item x="1"/>
        <item t="default"/>
      </items>
    </pivotField>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3">
    <field x="1"/>
    <field x="2"/>
    <field x="9"/>
  </rowFields>
  <rowItems count="176">
    <i>
      <x/>
    </i>
    <i r="1">
      <x v="19"/>
    </i>
    <i r="2">
      <x/>
    </i>
    <i r="1">
      <x v="29"/>
    </i>
    <i r="2">
      <x/>
    </i>
    <i>
      <x v="1"/>
    </i>
    <i r="1">
      <x v="14"/>
    </i>
    <i r="2">
      <x/>
    </i>
    <i r="1">
      <x v="41"/>
    </i>
    <i r="2">
      <x/>
    </i>
    <i>
      <x v="2"/>
    </i>
    <i r="1">
      <x v="13"/>
    </i>
    <i r="2">
      <x/>
    </i>
    <i r="1">
      <x v="32"/>
    </i>
    <i r="2">
      <x/>
    </i>
    <i>
      <x v="3"/>
    </i>
    <i r="1">
      <x v="7"/>
    </i>
    <i r="2">
      <x/>
    </i>
    <i r="1">
      <x v="45"/>
    </i>
    <i r="2">
      <x/>
    </i>
    <i>
      <x v="4"/>
    </i>
    <i r="1">
      <x v="3"/>
    </i>
    <i r="2">
      <x/>
    </i>
    <i r="1">
      <x v="30"/>
    </i>
    <i r="2">
      <x/>
    </i>
    <i>
      <x v="5"/>
    </i>
    <i r="1">
      <x v="38"/>
    </i>
    <i r="2">
      <x/>
    </i>
    <i r="1">
      <x v="50"/>
    </i>
    <i r="2">
      <x/>
    </i>
    <i>
      <x v="6"/>
    </i>
    <i r="1">
      <x v="24"/>
    </i>
    <i r="2">
      <x/>
    </i>
    <i r="1">
      <x v="44"/>
    </i>
    <i r="2">
      <x/>
    </i>
    <i>
      <x v="7"/>
    </i>
    <i r="1">
      <x/>
    </i>
    <i r="2">
      <x/>
    </i>
    <i r="1">
      <x v="37"/>
    </i>
    <i r="2">
      <x/>
    </i>
    <i>
      <x v="8"/>
    </i>
    <i r="1">
      <x v="18"/>
    </i>
    <i r="2">
      <x/>
    </i>
    <i r="1">
      <x v="31"/>
    </i>
    <i r="2">
      <x/>
    </i>
    <i>
      <x v="9"/>
    </i>
    <i r="1">
      <x v="8"/>
    </i>
    <i r="2">
      <x/>
    </i>
    <i r="1">
      <x v="20"/>
    </i>
    <i r="2">
      <x/>
    </i>
    <i>
      <x v="10"/>
    </i>
    <i r="1">
      <x v="1"/>
    </i>
    <i r="2">
      <x/>
    </i>
    <i r="1">
      <x v="40"/>
    </i>
    <i r="2">
      <x/>
    </i>
    <i>
      <x v="11"/>
    </i>
    <i r="1">
      <x v="2"/>
    </i>
    <i r="2">
      <x/>
    </i>
    <i r="1">
      <x v="26"/>
    </i>
    <i r="2">
      <x/>
    </i>
    <i>
      <x v="12"/>
    </i>
    <i r="1">
      <x v="13"/>
    </i>
    <i r="2">
      <x/>
    </i>
    <i r="1">
      <x v="49"/>
    </i>
    <i r="2">
      <x/>
    </i>
    <i>
      <x v="13"/>
    </i>
    <i r="1">
      <x v="15"/>
    </i>
    <i r="2">
      <x/>
    </i>
    <i r="1">
      <x v="35"/>
    </i>
    <i r="2">
      <x/>
    </i>
    <i>
      <x v="14"/>
    </i>
    <i r="1">
      <x v="9"/>
    </i>
    <i r="2">
      <x/>
    </i>
    <i r="1">
      <x v="22"/>
    </i>
    <i r="2">
      <x/>
    </i>
    <i>
      <x v="15"/>
    </i>
    <i r="1">
      <x v="25"/>
    </i>
    <i r="2">
      <x/>
    </i>
    <i r="1">
      <x v="43"/>
    </i>
    <i r="2">
      <x/>
    </i>
    <i>
      <x v="16"/>
    </i>
    <i r="1">
      <x v="10"/>
    </i>
    <i r="2">
      <x/>
    </i>
    <i r="1">
      <x v="46"/>
    </i>
    <i r="2">
      <x/>
    </i>
    <i>
      <x v="17"/>
    </i>
    <i r="1">
      <x v="17"/>
    </i>
    <i r="2">
      <x/>
    </i>
    <i r="1">
      <x v="34"/>
    </i>
    <i r="2">
      <x/>
    </i>
    <i>
      <x v="18"/>
    </i>
    <i r="1">
      <x v="5"/>
    </i>
    <i r="2">
      <x/>
    </i>
    <i r="1">
      <x v="23"/>
    </i>
    <i r="2">
      <x/>
    </i>
    <i>
      <x v="19"/>
    </i>
    <i r="1">
      <x v="26"/>
    </i>
    <i r="2">
      <x/>
    </i>
    <i r="1">
      <x v="41"/>
    </i>
    <i r="2">
      <x/>
    </i>
    <i>
      <x v="20"/>
    </i>
    <i r="1">
      <x v="13"/>
    </i>
    <i r="2">
      <x/>
    </i>
    <i r="1">
      <x v="48"/>
    </i>
    <i r="2">
      <x/>
    </i>
    <i>
      <x v="21"/>
    </i>
    <i r="1">
      <x v="14"/>
    </i>
    <i r="2">
      <x/>
    </i>
    <i r="1">
      <x v="33"/>
    </i>
    <i r="2">
      <x/>
    </i>
    <i>
      <x v="22"/>
    </i>
    <i r="1">
      <x v="6"/>
    </i>
    <i r="2">
      <x/>
    </i>
    <i r="1">
      <x v="20"/>
    </i>
    <i r="2">
      <x/>
    </i>
    <i>
      <x v="23"/>
    </i>
    <i r="1">
      <x v="28"/>
    </i>
    <i r="2">
      <x/>
    </i>
    <i r="1">
      <x v="42"/>
    </i>
    <i r="2">
      <x/>
    </i>
    <i>
      <x v="24"/>
    </i>
    <i r="1">
      <x v="12"/>
    </i>
    <i r="2">
      <x/>
    </i>
    <i r="1">
      <x v="47"/>
    </i>
    <i r="2">
      <x/>
    </i>
    <i>
      <x v="25"/>
    </i>
    <i r="1">
      <x v="16"/>
    </i>
    <i r="2">
      <x/>
    </i>
    <i r="1">
      <x v="36"/>
    </i>
    <i r="2">
      <x/>
    </i>
    <i>
      <x v="26"/>
    </i>
    <i r="1">
      <x v="4"/>
    </i>
    <i r="2">
      <x/>
    </i>
    <i r="1">
      <x v="21"/>
    </i>
    <i r="2">
      <x/>
    </i>
    <i>
      <x v="27"/>
    </i>
    <i r="1">
      <x v="27"/>
    </i>
    <i r="2">
      <x/>
    </i>
    <i r="1">
      <x v="39"/>
    </i>
    <i r="2">
      <x/>
    </i>
    <i>
      <x v="28"/>
    </i>
    <i r="1">
      <x v="11"/>
    </i>
    <i r="2">
      <x/>
    </i>
    <i r="1">
      <x v="48"/>
    </i>
    <i r="2">
      <x/>
    </i>
    <i>
      <x v="29"/>
    </i>
    <i r="1">
      <x v="14"/>
    </i>
    <i r="2">
      <x/>
    </i>
    <i r="1">
      <x v="33"/>
    </i>
    <i r="2">
      <x/>
    </i>
    <i>
      <x v="30"/>
    </i>
    <i r="1">
      <x v="6"/>
    </i>
    <i r="2">
      <x/>
    </i>
    <i r="1">
      <x v="20"/>
    </i>
    <i r="2">
      <x/>
    </i>
    <i>
      <x v="31"/>
    </i>
    <i r="1">
      <x v="12"/>
    </i>
    <i r="2">
      <x v="1"/>
    </i>
    <i r="1">
      <x v="28"/>
    </i>
    <i r="2">
      <x v="1"/>
    </i>
    <i r="1">
      <x v="42"/>
    </i>
    <i r="2">
      <x v="1"/>
    </i>
    <i>
      <x v="32"/>
    </i>
    <i r="1">
      <x v="47"/>
    </i>
    <i r="2">
      <x v="1"/>
    </i>
    <i>
      <x v="33"/>
    </i>
    <i r="1">
      <x v="36"/>
    </i>
    <i r="2">
      <x v="1"/>
    </i>
    <i>
      <x v="34"/>
    </i>
    <i r="1">
      <x v="4"/>
    </i>
    <i r="2">
      <x v="1"/>
    </i>
    <i r="1">
      <x v="16"/>
    </i>
    <i r="2">
      <x v="1"/>
    </i>
    <i r="1">
      <x v="21"/>
    </i>
    <i r="2">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CA35CAE-061A-4405-887A-D3E38979912C}"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L32:M84" firstHeaderRow="1" firstDataRow="1" firstDataCol="1"/>
  <pivotFields count="14">
    <pivotField showAll="0"/>
    <pivotField numFmtId="14" showAll="0">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t="default"/>
      </items>
    </pivotField>
    <pivotField axis="axisRow" showAll="0">
      <items count="52">
        <item x="15"/>
        <item x="21"/>
        <item x="22"/>
        <item x="8"/>
        <item x="46"/>
        <item x="35"/>
        <item x="39"/>
        <item x="6"/>
        <item x="18"/>
        <item x="27"/>
        <item x="31"/>
        <item x="50"/>
        <item x="42"/>
        <item x="4"/>
        <item x="3"/>
        <item x="26"/>
        <item x="45"/>
        <item x="34"/>
        <item x="16"/>
        <item x="1"/>
        <item x="19"/>
        <item x="47"/>
        <item x="28"/>
        <item x="36"/>
        <item x="13"/>
        <item x="30"/>
        <item x="23"/>
        <item x="49"/>
        <item x="41"/>
        <item x="0"/>
        <item x="9"/>
        <item x="17"/>
        <item x="5"/>
        <item x="38"/>
        <item x="33"/>
        <item x="25"/>
        <item x="44"/>
        <item x="14"/>
        <item x="11"/>
        <item x="48"/>
        <item x="20"/>
        <item x="2"/>
        <item x="40"/>
        <item x="29"/>
        <item x="12"/>
        <item x="7"/>
        <item x="32"/>
        <item x="43"/>
        <item x="37"/>
        <item x="24"/>
        <item x="10"/>
        <item t="default"/>
      </items>
    </pivotField>
    <pivotField numFmtId="14" showAll="0"/>
    <pivotField showAll="0"/>
    <pivotField dataField="1" showAll="0" measureFilter="1">
      <items count="6">
        <item x="1"/>
        <item x="0"/>
        <item x="2"/>
        <item x="3"/>
        <item x="4"/>
        <item t="default"/>
      </items>
    </pivotField>
    <pivotField showAll="0"/>
    <pivotField showAll="0"/>
    <pivotField showAll="0"/>
    <pivotField showAll="0">
      <items count="3">
        <item x="0"/>
        <item x="1"/>
        <item t="default"/>
      </items>
    </pivotField>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Sum of Order Quantity" fld="5"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78F20EE-11EE-4B67-A177-DF52117EFEF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55" firstHeaderRow="1" firstDataRow="1" firstDataCol="1"/>
  <pivotFields count="14">
    <pivotField showAll="0"/>
    <pivotField numFmtId="14" showAll="0">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t="default"/>
      </items>
    </pivotField>
    <pivotField axis="axisRow" showAll="0">
      <items count="52">
        <item x="15"/>
        <item x="21"/>
        <item x="22"/>
        <item x="8"/>
        <item x="46"/>
        <item x="35"/>
        <item x="39"/>
        <item x="6"/>
        <item x="18"/>
        <item x="27"/>
        <item x="31"/>
        <item x="50"/>
        <item x="42"/>
        <item x="4"/>
        <item x="3"/>
        <item x="26"/>
        <item x="45"/>
        <item x="34"/>
        <item x="16"/>
        <item x="1"/>
        <item x="19"/>
        <item x="47"/>
        <item x="28"/>
        <item x="36"/>
        <item x="13"/>
        <item x="30"/>
        <item x="23"/>
        <item x="49"/>
        <item x="41"/>
        <item x="0"/>
        <item x="9"/>
        <item x="17"/>
        <item x="5"/>
        <item x="38"/>
        <item x="33"/>
        <item x="25"/>
        <item x="44"/>
        <item x="14"/>
        <item x="11"/>
        <item x="48"/>
        <item x="20"/>
        <item x="2"/>
        <item x="40"/>
        <item x="29"/>
        <item x="12"/>
        <item x="7"/>
        <item x="32"/>
        <item x="43"/>
        <item x="37"/>
        <item x="24"/>
        <item x="10"/>
        <item t="default"/>
      </items>
    </pivotField>
    <pivotField numFmtId="14" showAll="0"/>
    <pivotField showAll="0"/>
    <pivotField showAll="0"/>
    <pivotField showAll="0"/>
    <pivotField dataField="1" showAll="0" measureFilter="1">
      <items count="14">
        <item x="1"/>
        <item x="3"/>
        <item x="8"/>
        <item x="0"/>
        <item x="6"/>
        <item x="12"/>
        <item x="7"/>
        <item x="10"/>
        <item x="11"/>
        <item x="4"/>
        <item x="5"/>
        <item x="9"/>
        <item x="2"/>
        <item t="default"/>
      </items>
    </pivotField>
    <pivotField showAll="0"/>
    <pivotField showAll="0">
      <items count="3">
        <item x="0"/>
        <item x="1"/>
        <item t="default"/>
      </items>
    </pivotField>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Sum of Total (USD)" fld="7" baseField="0" baseItem="0"/>
  </dataFields>
  <pivotTableStyleInfo name="PivotStyleLight16" showRowHeaders="1" showColHeaders="1" showRowStripes="0" showColStripes="0" showLastColumn="1"/>
  <filters count="1">
    <filter fld="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BBA5606F-DA9F-48F9-8972-BE007F75EB31}" sourceName="Order Date">
  <pivotTables>
    <pivotTable tabId="3" name="PivotTable12"/>
    <pivotTable tabId="3" name="PivotTable1"/>
    <pivotTable tabId="3" name="PivotTable10"/>
    <pivotTable tabId="3" name="PivotTable2"/>
    <pivotTable tabId="3" name="PivotTable6"/>
    <pivotTable tabId="3" name="PivotTable7"/>
    <pivotTable tabId="3" name="PivotTable8"/>
    <pivotTable tabId="3" name="PivotTable15"/>
    <pivotTable tabId="3" name="PivotTable16"/>
  </pivotTables>
  <data>
    <tabular pivotCacheId="143867552">
      <items count="35">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Name" xr10:uid="{55BE86B6-6021-4C81-9BC0-073500878AFF}" sourceName="Customer Name">
  <pivotTables>
    <pivotTable tabId="3" name="PivotTable12"/>
    <pivotTable tabId="3" name="PivotTable1"/>
    <pivotTable tabId="3" name="PivotTable10"/>
    <pivotTable tabId="3" name="PivotTable2"/>
    <pivotTable tabId="3" name="PivotTable6"/>
    <pivotTable tabId="3" name="PivotTable7"/>
    <pivotTable tabId="3" name="PivotTable8"/>
    <pivotTable tabId="3" name="PivotTable15"/>
    <pivotTable tabId="3" name="PivotTable16"/>
  </pivotTables>
  <data>
    <tabular pivotCacheId="143867552">
      <items count="51">
        <i x="15" s="1"/>
        <i x="21" s="1"/>
        <i x="22" s="1"/>
        <i x="8" s="1"/>
        <i x="46" s="1"/>
        <i x="35" s="1"/>
        <i x="39" s="1"/>
        <i x="6" s="1"/>
        <i x="18" s="1"/>
        <i x="27" s="1"/>
        <i x="31" s="1"/>
        <i x="50" s="1"/>
        <i x="42" s="1"/>
        <i x="4" s="1"/>
        <i x="3" s="1"/>
        <i x="26" s="1"/>
        <i x="45" s="1"/>
        <i x="34" s="1"/>
        <i x="16" s="1"/>
        <i x="1" s="1"/>
        <i x="19" s="1"/>
        <i x="47" s="1"/>
        <i x="28" s="1"/>
        <i x="36" s="1"/>
        <i x="13" s="1"/>
        <i x="30" s="1"/>
        <i x="23" s="1"/>
        <i x="49" s="1"/>
        <i x="41" s="1"/>
        <i x="0" s="1"/>
        <i x="9" s="1"/>
        <i x="17" s="1"/>
        <i x="5" s="1"/>
        <i x="38" s="1"/>
        <i x="33" s="1"/>
        <i x="25" s="1"/>
        <i x="44" s="1"/>
        <i x="14" s="1"/>
        <i x="11" s="1"/>
        <i x="48" s="1"/>
        <i x="20" s="1"/>
        <i x="2" s="1"/>
        <i x="40" s="1"/>
        <i x="29" s="1"/>
        <i x="12" s="1"/>
        <i x="7" s="1"/>
        <i x="32" s="1"/>
        <i x="43" s="1"/>
        <i x="37" s="1"/>
        <i x="24" s="1"/>
        <i x="1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CCB7DAAC-1B1E-4945-A3EC-16B7EE30EA25}" sourceName="Month">
  <pivotTables>
    <pivotTable tabId="3" name="PivotTable12"/>
    <pivotTable tabId="3" name="PivotTable1"/>
    <pivotTable tabId="3" name="PivotTable10"/>
    <pivotTable tabId="3" name="PivotTable2"/>
    <pivotTable tabId="3" name="PivotTable6"/>
    <pivotTable tabId="3" name="PivotTable7"/>
    <pivotTable tabId="3" name="PivotTable8"/>
    <pivotTable tabId="3" name="PivotTable15"/>
    <pivotTable tabId="3" name="PivotTable16"/>
  </pivotTables>
  <data>
    <tabular pivotCacheId="143867552">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xr10:uid="{E81E8257-021C-4E2D-8298-FE392C0C98B3}" cache="Slicer_Order_Date" caption="Order Date" style="SlicerStyleLight2" rowHeight="247650"/>
  <slicer name="Customer Name" xr10:uid="{15F78303-C17D-4511-8A74-58758973B55D}" cache="Slicer_Customer_Name" caption="Customer Name" startItem="15" style="SlicerStyleLight2" rowHeight="247650"/>
  <slicer name="Month" xr10:uid="{33B90D87-4D18-4B5A-8979-723002A067EA}" cache="Slicer_Month" caption="Month" style="SlicerStyleLight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1" xr10:uid="{20B43FDB-3FC1-44B6-8431-6D87A76F824F}" cache="Slicer_Order_Date" caption="Order Date" style="SlicerStyleLight2" rowHeight="247650"/>
  <slicer name="Customer Name 1" xr10:uid="{35825949-27F3-4CBD-9281-4789E9AE2B53}" cache="Slicer_Customer_Name" caption="Customer Name" startItem="18" style="SlicerStyleLight2" rowHeight="247650"/>
  <slicer name="Month 1" xr10:uid="{CA4EE88B-8505-4170-9D19-312B03BC3BAC}" cache="Slicer_Month" caption="Month" style="SlicerStyleLight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EF2F76-4D0F-433C-A218-3C02AA6A5F05}" name="Table1" displayName="Table1" ref="B7:M77" totalsRowShown="0" headerRowDxfId="14" dataDxfId="13" tableBorderDxfId="12">
  <autoFilter ref="B7:M77" xr:uid="{AAEF2F76-4D0F-433C-A218-3C02AA6A5F05}"/>
  <tableColumns count="12">
    <tableColumn id="1" xr3:uid="{74F55306-6E2D-4C25-A6D8-293F54259877}" name="Order No" dataDxfId="11"/>
    <tableColumn id="2" xr3:uid="{0B9A7BDD-A275-492F-8699-B8566C902DCE}" name="Order Date" dataDxfId="10"/>
    <tableColumn id="3" xr3:uid="{788E5376-7649-461E-95FE-67E06388EB5F}" name="Customer Name" dataDxfId="9"/>
    <tableColumn id="4" xr3:uid="{D1A32A63-3854-4989-9905-6ABB72D578AC}" name="Ship Date" dataDxfId="8"/>
    <tableColumn id="5" xr3:uid="{D1E835A9-A853-4C61-98C3-14F06D1AF5D5}" name="Retail Price (USD)" dataDxfId="7"/>
    <tableColumn id="6" xr3:uid="{6F29641F-F851-444E-A015-359BF6AD1701}" name="Order Quantity" dataDxfId="6"/>
    <tableColumn id="7" xr3:uid="{C12160C2-88EE-45B3-893B-2633CB3DA863}" name="Tax (USD)" dataDxfId="5">
      <calculatedColumnFormula>F8*G8*$I$5</calculatedColumnFormula>
    </tableColumn>
    <tableColumn id="8" xr3:uid="{97C3DE5B-8030-43C6-A558-3468E9B8B131}" name="Total (USD)" dataDxfId="4">
      <calculatedColumnFormula>F8*G8+H8</calculatedColumnFormula>
    </tableColumn>
    <tableColumn id="9" xr3:uid="{BB4E4BFD-F657-4129-A184-3ADA5E44DD49}" name="Sales Amount" dataDxfId="3">
      <calculatedColumnFormula>F8*Table1[[#This Row],[Order Quantity]]</calculatedColumnFormula>
    </tableColumn>
    <tableColumn id="10" xr3:uid="{C31637EC-0198-41F8-A7F4-6D18375524AD}" name="Month" dataDxfId="2">
      <calculatedColumnFormula>TEXT(Table1[[#This Row],[Order Date]],"mmm")</calculatedColumnFormula>
    </tableColumn>
    <tableColumn id="11" xr3:uid="{D733E562-0CB8-4231-A41F-C44AE9D23A2A}" name="Year" dataDxfId="1">
      <calculatedColumnFormula>YEAR(Table1[[#This Row],[Order Date]])</calculatedColumnFormula>
    </tableColumn>
    <tableColumn id="12" xr3:uid="{67106AF8-32DF-4998-8B57-589B407D4D1F}" name="Day" dataDxfId="0">
      <calculatedColumnFormula>TEXT(Table1[[#This Row],[Order Date]],"dddd")</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855F0-4D94-47A4-89CB-975ECBA03030}">
  <dimension ref="A2:AS182"/>
  <sheetViews>
    <sheetView topLeftCell="AB12" zoomScale="81" workbookViewId="0">
      <selection activeCell="AM22" sqref="AM22"/>
    </sheetView>
  </sheetViews>
  <sheetFormatPr defaultRowHeight="15" x14ac:dyDescent="0.25"/>
  <cols>
    <col min="1" max="1" width="13.42578125" bestFit="1" customWidth="1"/>
    <col min="2" max="2" width="17.42578125" bestFit="1" customWidth="1"/>
    <col min="4" max="4" width="19.85546875" bestFit="1" customWidth="1"/>
    <col min="5" max="5" width="17.42578125" bestFit="1" customWidth="1"/>
    <col min="8" max="8" width="12.42578125" bestFit="1" customWidth="1"/>
    <col min="9" max="9" width="19.85546875" bestFit="1" customWidth="1"/>
    <col min="10" max="10" width="17.42578125" bestFit="1" customWidth="1"/>
    <col min="12" max="12" width="19.85546875" bestFit="1" customWidth="1"/>
    <col min="13" max="13" width="20.5703125" bestFit="1" customWidth="1"/>
    <col min="17" max="17" width="13.42578125" bestFit="1" customWidth="1"/>
    <col min="18" max="18" width="17.42578125" bestFit="1" customWidth="1"/>
    <col min="21" max="21" width="13.42578125" bestFit="1" customWidth="1"/>
    <col min="22" max="22" width="17.42578125" bestFit="1" customWidth="1"/>
    <col min="28" max="28" width="23.28515625" bestFit="1" customWidth="1"/>
    <col min="39" max="39" width="13.42578125" bestFit="1" customWidth="1"/>
    <col min="40" max="40" width="17.42578125" bestFit="1" customWidth="1"/>
    <col min="41" max="41" width="20.5703125" bestFit="1" customWidth="1"/>
    <col min="43" max="43" width="17.42578125" bestFit="1" customWidth="1"/>
  </cols>
  <sheetData>
    <row r="2" spans="1:45" x14ac:dyDescent="0.25">
      <c r="U2" s="18" t="s">
        <v>65</v>
      </c>
      <c r="V2" t="s">
        <v>69</v>
      </c>
    </row>
    <row r="3" spans="1:45" x14ac:dyDescent="0.25">
      <c r="A3" s="18" t="s">
        <v>65</v>
      </c>
      <c r="B3" t="s">
        <v>69</v>
      </c>
      <c r="D3" s="18" t="s">
        <v>65</v>
      </c>
      <c r="E3" t="s">
        <v>69</v>
      </c>
      <c r="U3" s="20">
        <v>45292</v>
      </c>
      <c r="V3">
        <v>142.96700000000001</v>
      </c>
    </row>
    <row r="4" spans="1:45" x14ac:dyDescent="0.25">
      <c r="A4" s="19" t="s">
        <v>66</v>
      </c>
      <c r="B4">
        <v>9601.3719999999921</v>
      </c>
      <c r="D4" s="19" t="s">
        <v>25</v>
      </c>
      <c r="E4">
        <v>164.989</v>
      </c>
      <c r="U4" s="20">
        <v>45293</v>
      </c>
      <c r="V4">
        <v>417.923</v>
      </c>
    </row>
    <row r="5" spans="1:45" x14ac:dyDescent="0.25">
      <c r="A5" s="19" t="s">
        <v>67</v>
      </c>
      <c r="B5">
        <v>1253.78</v>
      </c>
      <c r="D5" s="19" t="s">
        <v>31</v>
      </c>
      <c r="E5">
        <v>164.96699999999998</v>
      </c>
      <c r="I5" s="18" t="s">
        <v>65</v>
      </c>
      <c r="J5" t="s">
        <v>69</v>
      </c>
      <c r="U5" s="20">
        <v>45294</v>
      </c>
      <c r="V5">
        <v>340.96699999999998</v>
      </c>
    </row>
    <row r="6" spans="1:45" x14ac:dyDescent="0.25">
      <c r="A6" s="19" t="s">
        <v>68</v>
      </c>
      <c r="B6">
        <v>10855.151999999993</v>
      </c>
      <c r="D6" s="19" t="s">
        <v>32</v>
      </c>
      <c r="E6">
        <v>142.989</v>
      </c>
      <c r="I6" s="19" t="s">
        <v>20</v>
      </c>
      <c r="J6">
        <v>164.94499999999999</v>
      </c>
      <c r="U6" s="20">
        <v>45295</v>
      </c>
      <c r="V6">
        <v>285.94499999999994</v>
      </c>
      <c r="AB6" s="18" t="s">
        <v>65</v>
      </c>
    </row>
    <row r="7" spans="1:45" x14ac:dyDescent="0.25">
      <c r="D7" s="19" t="s">
        <v>18</v>
      </c>
      <c r="E7">
        <v>98.98899999999999</v>
      </c>
      <c r="I7" s="19" t="s">
        <v>34</v>
      </c>
      <c r="J7">
        <v>153.97799999999998</v>
      </c>
      <c r="U7" s="20">
        <v>45296</v>
      </c>
      <c r="V7">
        <v>318.97800000000001</v>
      </c>
      <c r="AB7" s="20">
        <v>45292</v>
      </c>
    </row>
    <row r="8" spans="1:45" x14ac:dyDescent="0.25">
      <c r="D8" s="19" t="s">
        <v>56</v>
      </c>
      <c r="E8">
        <v>241.93399999999997</v>
      </c>
      <c r="I8" s="19" t="s">
        <v>47</v>
      </c>
      <c r="J8">
        <v>252.92299999999997</v>
      </c>
      <c r="U8" s="20">
        <v>45297</v>
      </c>
      <c r="V8">
        <v>340.923</v>
      </c>
      <c r="AB8" s="23" t="s">
        <v>11</v>
      </c>
    </row>
    <row r="9" spans="1:45" x14ac:dyDescent="0.25">
      <c r="D9" s="19" t="s">
        <v>45</v>
      </c>
      <c r="E9">
        <v>219.989</v>
      </c>
      <c r="I9" s="19" t="s">
        <v>53</v>
      </c>
      <c r="J9">
        <v>318.96699999999998</v>
      </c>
      <c r="U9" s="20">
        <v>45298</v>
      </c>
      <c r="V9">
        <v>307.95600000000002</v>
      </c>
      <c r="AB9" s="22" t="s">
        <v>66</v>
      </c>
    </row>
    <row r="10" spans="1:45" x14ac:dyDescent="0.25">
      <c r="D10" s="19" t="s">
        <v>49</v>
      </c>
      <c r="E10">
        <v>296.95600000000002</v>
      </c>
      <c r="I10" s="19" t="s">
        <v>42</v>
      </c>
      <c r="J10">
        <v>164.989</v>
      </c>
      <c r="U10" s="20">
        <v>45299</v>
      </c>
      <c r="V10">
        <v>252.94499999999999</v>
      </c>
      <c r="AB10" s="23" t="s">
        <v>10</v>
      </c>
      <c r="AS10" t="s">
        <v>71</v>
      </c>
    </row>
    <row r="11" spans="1:45" x14ac:dyDescent="0.25">
      <c r="D11" s="19" t="s">
        <v>16</v>
      </c>
      <c r="E11">
        <v>131.96699999999998</v>
      </c>
      <c r="I11" s="19" t="s">
        <v>17</v>
      </c>
      <c r="J11">
        <v>153.97799999999998</v>
      </c>
      <c r="U11" s="20">
        <v>45300</v>
      </c>
      <c r="V11">
        <v>285.94499999999994</v>
      </c>
      <c r="AB11" s="22" t="s">
        <v>66</v>
      </c>
      <c r="AS11">
        <f>SUM('SuperMarket Sales'!I:I)</f>
        <v>10855.251999999991</v>
      </c>
    </row>
    <row r="12" spans="1:45" x14ac:dyDescent="0.25">
      <c r="D12" s="19" t="s">
        <v>28</v>
      </c>
      <c r="E12">
        <v>219.989</v>
      </c>
      <c r="I12" s="19" t="s">
        <v>22</v>
      </c>
      <c r="J12">
        <v>164.96699999999998</v>
      </c>
      <c r="U12" s="20">
        <v>45301</v>
      </c>
      <c r="V12">
        <v>384.93399999999997</v>
      </c>
      <c r="AB12" s="20">
        <v>45293</v>
      </c>
    </row>
    <row r="13" spans="1:45" x14ac:dyDescent="0.25">
      <c r="D13" s="19" t="s">
        <v>37</v>
      </c>
      <c r="E13">
        <v>164.94499999999999</v>
      </c>
      <c r="I13" s="19" t="s">
        <v>39</v>
      </c>
      <c r="J13">
        <v>164.96699999999998</v>
      </c>
      <c r="U13" s="20">
        <v>45302</v>
      </c>
      <c r="V13">
        <v>340.94499999999994</v>
      </c>
      <c r="AB13" s="23" t="s">
        <v>13</v>
      </c>
    </row>
    <row r="14" spans="1:45" x14ac:dyDescent="0.25">
      <c r="D14" s="19" t="s">
        <v>41</v>
      </c>
      <c r="E14">
        <v>87.955999999999989</v>
      </c>
      <c r="I14" s="19" t="s">
        <v>50</v>
      </c>
      <c r="J14">
        <v>296.91199999999998</v>
      </c>
      <c r="U14" s="20">
        <v>45303</v>
      </c>
      <c r="V14">
        <v>230.94499999999999</v>
      </c>
      <c r="AB14" s="22" t="s">
        <v>66</v>
      </c>
    </row>
    <row r="15" spans="1:45" x14ac:dyDescent="0.25">
      <c r="D15" s="19" t="s">
        <v>60</v>
      </c>
      <c r="E15">
        <v>175.97799999999998</v>
      </c>
      <c r="I15" s="19" t="s">
        <v>12</v>
      </c>
      <c r="J15">
        <v>505.94499999999994</v>
      </c>
      <c r="U15" s="20">
        <v>45304</v>
      </c>
      <c r="V15">
        <v>318.96699999999998</v>
      </c>
      <c r="AB15" s="23" t="s">
        <v>12</v>
      </c>
    </row>
    <row r="16" spans="1:45" x14ac:dyDescent="0.25">
      <c r="D16" s="19" t="s">
        <v>52</v>
      </c>
      <c r="E16">
        <v>329.91199999999998</v>
      </c>
      <c r="I16" s="19" t="s">
        <v>30</v>
      </c>
      <c r="J16">
        <v>175.97799999999998</v>
      </c>
      <c r="U16" s="20">
        <v>45305</v>
      </c>
      <c r="V16">
        <v>351.95600000000002</v>
      </c>
      <c r="AB16" s="22" t="s">
        <v>66</v>
      </c>
    </row>
    <row r="17" spans="4:43" x14ac:dyDescent="0.25">
      <c r="D17" s="19" t="s">
        <v>14</v>
      </c>
      <c r="E17">
        <v>472.96699999999998</v>
      </c>
      <c r="I17" s="19" t="s">
        <v>58</v>
      </c>
      <c r="J17">
        <v>219.989</v>
      </c>
      <c r="U17" s="20">
        <v>45306</v>
      </c>
      <c r="V17">
        <v>340.923</v>
      </c>
      <c r="AB17" s="20">
        <v>45294</v>
      </c>
    </row>
    <row r="18" spans="4:43" x14ac:dyDescent="0.25">
      <c r="D18" s="19" t="s">
        <v>13</v>
      </c>
      <c r="E18">
        <v>329.89</v>
      </c>
      <c r="I18" s="19" t="s">
        <v>21</v>
      </c>
      <c r="J18">
        <v>175.97799999999998</v>
      </c>
      <c r="U18" s="20">
        <v>45307</v>
      </c>
      <c r="V18">
        <v>307.95600000000002</v>
      </c>
      <c r="AB18" s="23" t="s">
        <v>14</v>
      </c>
    </row>
    <row r="19" spans="4:43" x14ac:dyDescent="0.25">
      <c r="D19" s="19" t="s">
        <v>36</v>
      </c>
      <c r="E19">
        <v>219.989</v>
      </c>
      <c r="I19" s="19" t="s">
        <v>24</v>
      </c>
      <c r="J19">
        <v>87.955999999999989</v>
      </c>
      <c r="U19" s="20">
        <v>45308</v>
      </c>
      <c r="V19">
        <v>252.94499999999999</v>
      </c>
      <c r="AB19" s="22" t="s">
        <v>66</v>
      </c>
    </row>
    <row r="20" spans="4:43" x14ac:dyDescent="0.25">
      <c r="D20" s="19" t="s">
        <v>55</v>
      </c>
      <c r="E20">
        <v>307.97800000000001</v>
      </c>
      <c r="I20" s="19" t="s">
        <v>54</v>
      </c>
      <c r="J20">
        <v>252.92299999999997</v>
      </c>
      <c r="U20" s="20">
        <v>45309</v>
      </c>
      <c r="V20">
        <v>285.94499999999994</v>
      </c>
      <c r="AB20" s="23" t="s">
        <v>15</v>
      </c>
      <c r="AQ20" t="s">
        <v>69</v>
      </c>
    </row>
    <row r="21" spans="4:43" x14ac:dyDescent="0.25">
      <c r="D21" s="19" t="s">
        <v>44</v>
      </c>
      <c r="E21">
        <v>131.96699999999998</v>
      </c>
      <c r="I21" s="19" t="s">
        <v>35</v>
      </c>
      <c r="J21">
        <v>131.96699999999998</v>
      </c>
      <c r="Q21" s="18" t="s">
        <v>65</v>
      </c>
      <c r="R21" t="s">
        <v>69</v>
      </c>
      <c r="U21" s="20">
        <v>45310</v>
      </c>
      <c r="V21">
        <v>384.93399999999997</v>
      </c>
      <c r="AB21" s="22" t="s">
        <v>66</v>
      </c>
      <c r="AQ21">
        <v>10855.151999999991</v>
      </c>
    </row>
    <row r="22" spans="4:43" x14ac:dyDescent="0.25">
      <c r="D22" s="19" t="s">
        <v>26</v>
      </c>
      <c r="E22">
        <v>153.97799999999998</v>
      </c>
      <c r="I22" s="19" t="s">
        <v>43</v>
      </c>
      <c r="J22">
        <v>153.97799999999998</v>
      </c>
      <c r="Q22" s="20">
        <v>45292</v>
      </c>
      <c r="R22">
        <v>142.96700000000001</v>
      </c>
      <c r="U22" s="20">
        <v>45311</v>
      </c>
      <c r="V22">
        <v>340.94499999999994</v>
      </c>
      <c r="AB22" s="20">
        <v>45295</v>
      </c>
      <c r="AM22">
        <f>MAX('SuperMarket Sales'!I:I)</f>
        <v>329.96699999999998</v>
      </c>
    </row>
    <row r="23" spans="4:43" x14ac:dyDescent="0.25">
      <c r="D23" s="19" t="s">
        <v>11</v>
      </c>
      <c r="E23">
        <v>32.988999999999997</v>
      </c>
      <c r="I23" s="19" t="s">
        <v>48</v>
      </c>
      <c r="J23">
        <v>307.97800000000001</v>
      </c>
      <c r="Q23" s="20">
        <v>45293</v>
      </c>
      <c r="R23">
        <v>417.923</v>
      </c>
      <c r="U23" s="20">
        <v>45312</v>
      </c>
      <c r="V23">
        <v>230.94499999999999</v>
      </c>
      <c r="AB23" s="23" t="s">
        <v>16</v>
      </c>
    </row>
    <row r="24" spans="4:43" x14ac:dyDescent="0.25">
      <c r="D24" s="19" t="s">
        <v>29</v>
      </c>
      <c r="E24">
        <v>538.91199999999992</v>
      </c>
      <c r="I24" s="19" t="s">
        <v>15</v>
      </c>
      <c r="J24">
        <v>175.97799999999998</v>
      </c>
      <c r="Q24" s="20">
        <v>45294</v>
      </c>
      <c r="R24">
        <v>340.96699999999998</v>
      </c>
      <c r="U24" s="20">
        <v>45313</v>
      </c>
      <c r="V24">
        <v>318.96699999999998</v>
      </c>
      <c r="AB24" s="22" t="s">
        <v>66</v>
      </c>
    </row>
    <row r="25" spans="4:43" x14ac:dyDescent="0.25">
      <c r="D25" s="19" t="s">
        <v>57</v>
      </c>
      <c r="E25">
        <v>296.95600000000002</v>
      </c>
      <c r="I25" s="19" t="s">
        <v>27</v>
      </c>
      <c r="J25">
        <v>131.96699999999998</v>
      </c>
      <c r="Q25" s="20">
        <v>45295</v>
      </c>
      <c r="R25">
        <v>285.94499999999994</v>
      </c>
      <c r="U25" s="20">
        <v>45314</v>
      </c>
      <c r="V25">
        <v>351.95600000000002</v>
      </c>
      <c r="AB25" s="23" t="s">
        <v>17</v>
      </c>
    </row>
    <row r="26" spans="4:43" x14ac:dyDescent="0.25">
      <c r="D26" s="19" t="s">
        <v>38</v>
      </c>
      <c r="E26">
        <v>175.97799999999998</v>
      </c>
      <c r="I26" s="19" t="s">
        <v>19</v>
      </c>
      <c r="J26">
        <v>219.989</v>
      </c>
      <c r="Q26" s="20">
        <v>45296</v>
      </c>
      <c r="R26">
        <v>318.97800000000001</v>
      </c>
      <c r="U26" s="20">
        <v>45315</v>
      </c>
      <c r="V26">
        <v>340.923</v>
      </c>
      <c r="AB26" s="22" t="s">
        <v>66</v>
      </c>
    </row>
    <row r="27" spans="4:43" x14ac:dyDescent="0.25">
      <c r="D27" s="19" t="s">
        <v>46</v>
      </c>
      <c r="E27">
        <v>164.94499999999999</v>
      </c>
      <c r="I27" s="19" t="s">
        <v>10</v>
      </c>
      <c r="J27">
        <v>109.97800000000001</v>
      </c>
      <c r="Q27" s="20">
        <v>45297</v>
      </c>
      <c r="R27">
        <v>340.923</v>
      </c>
      <c r="U27" s="20">
        <v>45316</v>
      </c>
      <c r="V27">
        <v>307.95600000000002</v>
      </c>
      <c r="AB27" s="20">
        <v>45296</v>
      </c>
    </row>
    <row r="28" spans="4:43" x14ac:dyDescent="0.25">
      <c r="D28" s="19" t="s">
        <v>23</v>
      </c>
      <c r="E28">
        <v>142.989</v>
      </c>
      <c r="I28" s="19" t="s">
        <v>51</v>
      </c>
      <c r="J28">
        <v>395.96699999999998</v>
      </c>
      <c r="Q28" s="20">
        <v>45298</v>
      </c>
      <c r="R28">
        <v>307.95600000000002</v>
      </c>
      <c r="U28" s="20">
        <v>45317</v>
      </c>
      <c r="V28">
        <v>252.94499999999999</v>
      </c>
      <c r="AB28" s="23" t="s">
        <v>18</v>
      </c>
    </row>
    <row r="29" spans="4:43" x14ac:dyDescent="0.25">
      <c r="D29" s="19" t="s">
        <v>40</v>
      </c>
      <c r="E29">
        <v>142.989</v>
      </c>
      <c r="I29" s="19" t="s">
        <v>59</v>
      </c>
      <c r="J29">
        <v>164.94499999999999</v>
      </c>
      <c r="Q29" s="20">
        <v>45299</v>
      </c>
      <c r="R29">
        <v>252.94499999999999</v>
      </c>
      <c r="U29" s="20">
        <v>45318</v>
      </c>
      <c r="V29">
        <v>285.94499999999994</v>
      </c>
      <c r="AB29" s="22" t="s">
        <v>66</v>
      </c>
    </row>
    <row r="30" spans="4:43" x14ac:dyDescent="0.25">
      <c r="D30" s="19" t="s">
        <v>33</v>
      </c>
      <c r="E30">
        <v>252.92299999999997</v>
      </c>
      <c r="I30" s="19" t="s">
        <v>33</v>
      </c>
      <c r="J30">
        <v>252.92299999999997</v>
      </c>
      <c r="Q30" s="20">
        <v>45300</v>
      </c>
      <c r="R30">
        <v>285.94499999999994</v>
      </c>
      <c r="U30" s="20">
        <v>45319</v>
      </c>
      <c r="V30">
        <v>384.93399999999997</v>
      </c>
      <c r="AB30" s="23" t="s">
        <v>19</v>
      </c>
    </row>
    <row r="31" spans="4:43" x14ac:dyDescent="0.25">
      <c r="D31" s="19" t="s">
        <v>59</v>
      </c>
      <c r="E31">
        <v>164.94499999999999</v>
      </c>
      <c r="I31" s="19" t="s">
        <v>40</v>
      </c>
      <c r="J31">
        <v>142.989</v>
      </c>
      <c r="Q31" s="20">
        <v>45301</v>
      </c>
      <c r="R31">
        <v>384.93399999999997</v>
      </c>
      <c r="U31" s="20">
        <v>45320</v>
      </c>
      <c r="V31">
        <v>340.94499999999994</v>
      </c>
      <c r="AB31" s="22" t="s">
        <v>66</v>
      </c>
      <c r="AM31" s="18" t="s">
        <v>65</v>
      </c>
      <c r="AN31" t="s">
        <v>69</v>
      </c>
    </row>
    <row r="32" spans="4:43" x14ac:dyDescent="0.25">
      <c r="D32" s="19" t="s">
        <v>51</v>
      </c>
      <c r="E32">
        <v>395.96699999999998</v>
      </c>
      <c r="I32" s="19" t="s">
        <v>23</v>
      </c>
      <c r="J32">
        <v>142.989</v>
      </c>
      <c r="L32" s="18" t="s">
        <v>65</v>
      </c>
      <c r="M32" t="s">
        <v>70</v>
      </c>
      <c r="Q32" s="20">
        <v>45302</v>
      </c>
      <c r="R32">
        <v>340.94499999999994</v>
      </c>
      <c r="U32" s="20">
        <v>45321</v>
      </c>
      <c r="V32">
        <v>230.94499999999999</v>
      </c>
      <c r="AB32" s="20">
        <v>45297</v>
      </c>
      <c r="AM32" s="19" t="s">
        <v>66</v>
      </c>
      <c r="AN32">
        <v>9601.3719999999921</v>
      </c>
    </row>
    <row r="33" spans="4:40" x14ac:dyDescent="0.25">
      <c r="D33" s="19" t="s">
        <v>10</v>
      </c>
      <c r="E33">
        <v>109.97800000000001</v>
      </c>
      <c r="I33" s="19" t="s">
        <v>46</v>
      </c>
      <c r="J33">
        <v>164.94499999999999</v>
      </c>
      <c r="L33" s="19" t="s">
        <v>25</v>
      </c>
      <c r="M33">
        <v>1</v>
      </c>
      <c r="Q33" s="20">
        <v>45303</v>
      </c>
      <c r="R33">
        <v>230.94499999999999</v>
      </c>
      <c r="U33" s="20">
        <v>45322</v>
      </c>
      <c r="V33">
        <v>318.96699999999998</v>
      </c>
      <c r="AB33" s="23" t="s">
        <v>21</v>
      </c>
      <c r="AM33" s="19" t="s">
        <v>67</v>
      </c>
      <c r="AN33">
        <v>1253.78</v>
      </c>
    </row>
    <row r="34" spans="4:40" x14ac:dyDescent="0.25">
      <c r="D34" s="19" t="s">
        <v>19</v>
      </c>
      <c r="E34">
        <v>219.989</v>
      </c>
      <c r="I34" s="19" t="s">
        <v>38</v>
      </c>
      <c r="J34">
        <v>175.97799999999998</v>
      </c>
      <c r="L34" s="19" t="s">
        <v>31</v>
      </c>
      <c r="M34">
        <v>3</v>
      </c>
      <c r="Q34" s="20">
        <v>45304</v>
      </c>
      <c r="R34">
        <v>318.96699999999998</v>
      </c>
      <c r="U34" s="20">
        <v>45323</v>
      </c>
      <c r="V34">
        <v>516.90100000000007</v>
      </c>
      <c r="AB34" s="22" t="s">
        <v>66</v>
      </c>
      <c r="AM34" s="19" t="s">
        <v>68</v>
      </c>
      <c r="AN34">
        <v>10855.151999999993</v>
      </c>
    </row>
    <row r="35" spans="4:40" x14ac:dyDescent="0.25">
      <c r="D35" s="19" t="s">
        <v>27</v>
      </c>
      <c r="E35">
        <v>131.96699999999998</v>
      </c>
      <c r="I35" s="19" t="s">
        <v>57</v>
      </c>
      <c r="J35">
        <v>296.95600000000002</v>
      </c>
      <c r="L35" s="19" t="s">
        <v>32</v>
      </c>
      <c r="M35">
        <v>1</v>
      </c>
      <c r="Q35" s="20">
        <v>45305</v>
      </c>
      <c r="R35">
        <v>351.95600000000002</v>
      </c>
      <c r="U35" s="20">
        <v>45324</v>
      </c>
      <c r="V35">
        <v>175.97799999999998</v>
      </c>
      <c r="AB35" s="23" t="s">
        <v>20</v>
      </c>
    </row>
    <row r="36" spans="4:40" x14ac:dyDescent="0.25">
      <c r="D36" s="19" t="s">
        <v>15</v>
      </c>
      <c r="E36">
        <v>175.97799999999998</v>
      </c>
      <c r="I36" s="19" t="s">
        <v>29</v>
      </c>
      <c r="J36">
        <v>538.91199999999992</v>
      </c>
      <c r="L36" s="19" t="s">
        <v>18</v>
      </c>
      <c r="M36">
        <v>1</v>
      </c>
      <c r="Q36" s="20">
        <v>45306</v>
      </c>
      <c r="R36">
        <v>340.923</v>
      </c>
      <c r="U36" s="20">
        <v>45325</v>
      </c>
      <c r="V36">
        <v>164.96699999999998</v>
      </c>
      <c r="AB36" s="22" t="s">
        <v>66</v>
      </c>
    </row>
    <row r="37" spans="4:40" x14ac:dyDescent="0.25">
      <c r="D37" s="19" t="s">
        <v>48</v>
      </c>
      <c r="E37">
        <v>307.97800000000001</v>
      </c>
      <c r="I37" s="19" t="s">
        <v>11</v>
      </c>
      <c r="J37">
        <v>32.988999999999997</v>
      </c>
      <c r="L37" s="19" t="s">
        <v>56</v>
      </c>
      <c r="M37">
        <v>6</v>
      </c>
      <c r="Q37" s="20">
        <v>45307</v>
      </c>
      <c r="R37">
        <v>307.95600000000002</v>
      </c>
      <c r="U37" s="20">
        <v>45326</v>
      </c>
      <c r="V37">
        <v>395.93399999999997</v>
      </c>
      <c r="AB37" s="20">
        <v>45298</v>
      </c>
    </row>
    <row r="38" spans="4:40" x14ac:dyDescent="0.25">
      <c r="D38" s="19" t="s">
        <v>43</v>
      </c>
      <c r="E38">
        <v>153.97799999999998</v>
      </c>
      <c r="I38" s="19" t="s">
        <v>26</v>
      </c>
      <c r="J38">
        <v>153.97799999999998</v>
      </c>
      <c r="L38" s="19" t="s">
        <v>45</v>
      </c>
      <c r="M38">
        <v>1</v>
      </c>
      <c r="Q38" s="20">
        <v>45308</v>
      </c>
      <c r="R38">
        <v>252.94499999999999</v>
      </c>
      <c r="U38" s="20" t="s">
        <v>68</v>
      </c>
      <c r="V38">
        <v>10855.151999999996</v>
      </c>
      <c r="AB38" s="23" t="s">
        <v>23</v>
      </c>
    </row>
    <row r="39" spans="4:40" x14ac:dyDescent="0.25">
      <c r="D39" s="19" t="s">
        <v>35</v>
      </c>
      <c r="E39">
        <v>131.96699999999998</v>
      </c>
      <c r="I39" s="19" t="s">
        <v>44</v>
      </c>
      <c r="J39">
        <v>131.96699999999998</v>
      </c>
      <c r="L39" s="19" t="s">
        <v>49</v>
      </c>
      <c r="M39">
        <v>4</v>
      </c>
      <c r="Q39" s="20">
        <v>45309</v>
      </c>
      <c r="R39">
        <v>285.94499999999994</v>
      </c>
      <c r="AB39" s="22" t="s">
        <v>66</v>
      </c>
    </row>
    <row r="40" spans="4:40" x14ac:dyDescent="0.25">
      <c r="D40" s="19" t="s">
        <v>54</v>
      </c>
      <c r="E40">
        <v>252.92299999999997</v>
      </c>
      <c r="I40" s="19" t="s">
        <v>55</v>
      </c>
      <c r="J40">
        <v>307.97800000000001</v>
      </c>
      <c r="L40" s="19" t="s">
        <v>16</v>
      </c>
      <c r="M40">
        <v>3</v>
      </c>
      <c r="Q40" s="20">
        <v>45310</v>
      </c>
      <c r="R40">
        <v>384.93399999999997</v>
      </c>
      <c r="AB40" s="23" t="s">
        <v>22</v>
      </c>
    </row>
    <row r="41" spans="4:40" x14ac:dyDescent="0.25">
      <c r="D41" s="19" t="s">
        <v>24</v>
      </c>
      <c r="E41">
        <v>87.955999999999989</v>
      </c>
      <c r="I41" s="19" t="s">
        <v>36</v>
      </c>
      <c r="J41">
        <v>219.989</v>
      </c>
      <c r="L41" s="19" t="s">
        <v>28</v>
      </c>
      <c r="M41">
        <v>1</v>
      </c>
      <c r="Q41" s="20">
        <v>45311</v>
      </c>
      <c r="R41">
        <v>340.94499999999994</v>
      </c>
      <c r="AB41" s="22" t="s">
        <v>66</v>
      </c>
    </row>
    <row r="42" spans="4:40" x14ac:dyDescent="0.25">
      <c r="D42" s="19" t="s">
        <v>21</v>
      </c>
      <c r="E42">
        <v>175.97799999999998</v>
      </c>
      <c r="I42" s="19" t="s">
        <v>13</v>
      </c>
      <c r="J42">
        <v>329.89</v>
      </c>
      <c r="L42" s="19" t="s">
        <v>37</v>
      </c>
      <c r="M42">
        <v>5</v>
      </c>
      <c r="Q42" s="20">
        <v>45312</v>
      </c>
      <c r="R42">
        <v>230.94499999999999</v>
      </c>
      <c r="AB42" s="20">
        <v>45299</v>
      </c>
    </row>
    <row r="43" spans="4:40" x14ac:dyDescent="0.25">
      <c r="D43" s="19" t="s">
        <v>58</v>
      </c>
      <c r="E43">
        <v>219.989</v>
      </c>
      <c r="I43" s="19" t="s">
        <v>14</v>
      </c>
      <c r="J43">
        <v>472.96699999999998</v>
      </c>
      <c r="L43" s="19" t="s">
        <v>41</v>
      </c>
      <c r="M43">
        <v>4</v>
      </c>
      <c r="Q43" s="20">
        <v>45313</v>
      </c>
      <c r="R43">
        <v>318.96699999999998</v>
      </c>
      <c r="AB43" s="23" t="s">
        <v>25</v>
      </c>
    </row>
    <row r="44" spans="4:40" x14ac:dyDescent="0.25">
      <c r="D44" s="19" t="s">
        <v>30</v>
      </c>
      <c r="E44">
        <v>175.97799999999998</v>
      </c>
      <c r="I44" s="19" t="s">
        <v>52</v>
      </c>
      <c r="J44">
        <v>329.91199999999998</v>
      </c>
      <c r="L44" s="19" t="s">
        <v>60</v>
      </c>
      <c r="M44">
        <v>2</v>
      </c>
      <c r="Q44" s="20">
        <v>45314</v>
      </c>
      <c r="R44">
        <v>351.95600000000002</v>
      </c>
      <c r="AB44" s="22" t="s">
        <v>66</v>
      </c>
    </row>
    <row r="45" spans="4:40" x14ac:dyDescent="0.25">
      <c r="D45" s="19" t="s">
        <v>12</v>
      </c>
      <c r="E45">
        <v>505.94499999999994</v>
      </c>
      <c r="I45" s="19" t="s">
        <v>60</v>
      </c>
      <c r="J45">
        <v>175.97799999999998</v>
      </c>
      <c r="L45" s="19" t="s">
        <v>52</v>
      </c>
      <c r="M45">
        <v>8</v>
      </c>
      <c r="Q45" s="20">
        <v>45315</v>
      </c>
      <c r="R45">
        <v>340.923</v>
      </c>
      <c r="AB45" s="23" t="s">
        <v>24</v>
      </c>
    </row>
    <row r="46" spans="4:40" x14ac:dyDescent="0.25">
      <c r="D46" s="19" t="s">
        <v>50</v>
      </c>
      <c r="E46">
        <v>296.91199999999998</v>
      </c>
      <c r="I46" s="19" t="s">
        <v>41</v>
      </c>
      <c r="J46">
        <v>87.955999999999989</v>
      </c>
      <c r="L46" s="19" t="s">
        <v>14</v>
      </c>
      <c r="M46">
        <v>3</v>
      </c>
      <c r="Q46" s="20">
        <v>45316</v>
      </c>
      <c r="R46">
        <v>307.95600000000002</v>
      </c>
      <c r="AB46" s="22" t="s">
        <v>66</v>
      </c>
    </row>
    <row r="47" spans="4:40" x14ac:dyDescent="0.25">
      <c r="D47" s="19" t="s">
        <v>39</v>
      </c>
      <c r="E47">
        <v>164.96699999999998</v>
      </c>
      <c r="I47" s="19" t="s">
        <v>37</v>
      </c>
      <c r="J47">
        <v>164.94499999999999</v>
      </c>
      <c r="L47" s="19" t="s">
        <v>13</v>
      </c>
      <c r="M47">
        <v>10</v>
      </c>
      <c r="Q47" s="20">
        <v>45317</v>
      </c>
      <c r="R47">
        <v>252.94499999999999</v>
      </c>
      <c r="AB47" s="20">
        <v>45300</v>
      </c>
    </row>
    <row r="48" spans="4:40" x14ac:dyDescent="0.25">
      <c r="D48" s="19" t="s">
        <v>22</v>
      </c>
      <c r="E48">
        <v>164.96699999999998</v>
      </c>
      <c r="I48" s="19" t="s">
        <v>28</v>
      </c>
      <c r="J48">
        <v>219.989</v>
      </c>
      <c r="L48" s="19" t="s">
        <v>36</v>
      </c>
      <c r="M48">
        <v>1</v>
      </c>
      <c r="Q48" s="20">
        <v>45318</v>
      </c>
      <c r="R48">
        <v>285.94499999999994</v>
      </c>
      <c r="AB48" s="23" t="s">
        <v>26</v>
      </c>
    </row>
    <row r="49" spans="4:28" x14ac:dyDescent="0.25">
      <c r="D49" s="19" t="s">
        <v>17</v>
      </c>
      <c r="E49">
        <v>153.97799999999998</v>
      </c>
      <c r="I49" s="19" t="s">
        <v>16</v>
      </c>
      <c r="J49">
        <v>131.96699999999998</v>
      </c>
      <c r="L49" s="19" t="s">
        <v>55</v>
      </c>
      <c r="M49">
        <v>2</v>
      </c>
      <c r="Q49" s="20">
        <v>45319</v>
      </c>
      <c r="R49">
        <v>384.93399999999997</v>
      </c>
      <c r="AB49" s="22" t="s">
        <v>66</v>
      </c>
    </row>
    <row r="50" spans="4:28" x14ac:dyDescent="0.25">
      <c r="D50" s="19" t="s">
        <v>42</v>
      </c>
      <c r="E50">
        <v>164.989</v>
      </c>
      <c r="I50" s="19" t="s">
        <v>49</v>
      </c>
      <c r="J50">
        <v>296.95600000000002</v>
      </c>
      <c r="L50" s="19" t="s">
        <v>44</v>
      </c>
      <c r="M50">
        <v>3</v>
      </c>
      <c r="Q50" s="20">
        <v>45320</v>
      </c>
      <c r="R50">
        <v>340.94499999999994</v>
      </c>
      <c r="AB50" s="23" t="s">
        <v>27</v>
      </c>
    </row>
    <row r="51" spans="4:28" x14ac:dyDescent="0.25">
      <c r="D51" s="19" t="s">
        <v>53</v>
      </c>
      <c r="E51">
        <v>318.96699999999998</v>
      </c>
      <c r="I51" s="19" t="s">
        <v>45</v>
      </c>
      <c r="J51">
        <v>219.989</v>
      </c>
      <c r="L51" s="19" t="s">
        <v>26</v>
      </c>
      <c r="M51">
        <v>2</v>
      </c>
      <c r="Q51" s="20">
        <v>45321</v>
      </c>
      <c r="R51">
        <v>230.94499999999999</v>
      </c>
      <c r="AB51" s="22" t="s">
        <v>66</v>
      </c>
    </row>
    <row r="52" spans="4:28" x14ac:dyDescent="0.25">
      <c r="D52" s="19" t="s">
        <v>47</v>
      </c>
      <c r="E52">
        <v>252.92299999999997</v>
      </c>
      <c r="I52" s="19" t="s">
        <v>56</v>
      </c>
      <c r="J52">
        <v>241.93399999999997</v>
      </c>
      <c r="L52" s="19" t="s">
        <v>11</v>
      </c>
      <c r="M52">
        <v>1</v>
      </c>
      <c r="Q52" s="20">
        <v>45322</v>
      </c>
      <c r="R52">
        <v>318.96699999999998</v>
      </c>
      <c r="AB52" s="20">
        <v>45301</v>
      </c>
    </row>
    <row r="53" spans="4:28" x14ac:dyDescent="0.25">
      <c r="D53" s="19" t="s">
        <v>34</v>
      </c>
      <c r="E53">
        <v>153.97799999999998</v>
      </c>
      <c r="I53" s="19" t="s">
        <v>18</v>
      </c>
      <c r="J53">
        <v>98.98899999999999</v>
      </c>
      <c r="L53" s="19" t="s">
        <v>29</v>
      </c>
      <c r="M53">
        <v>8</v>
      </c>
      <c r="Q53" s="20">
        <v>45323</v>
      </c>
      <c r="R53">
        <v>516.90100000000007</v>
      </c>
      <c r="AB53" s="23" t="s">
        <v>28</v>
      </c>
    </row>
    <row r="54" spans="4:28" x14ac:dyDescent="0.25">
      <c r="D54" s="19" t="s">
        <v>20</v>
      </c>
      <c r="E54">
        <v>164.94499999999999</v>
      </c>
      <c r="I54" s="19" t="s">
        <v>32</v>
      </c>
      <c r="J54">
        <v>142.989</v>
      </c>
      <c r="L54" s="19" t="s">
        <v>57</v>
      </c>
      <c r="M54">
        <v>4</v>
      </c>
      <c r="Q54" s="20">
        <v>45324</v>
      </c>
      <c r="R54">
        <v>175.97799999999998</v>
      </c>
      <c r="AB54" s="22" t="s">
        <v>66</v>
      </c>
    </row>
    <row r="55" spans="4:28" x14ac:dyDescent="0.25">
      <c r="D55" s="19" t="s">
        <v>68</v>
      </c>
      <c r="E55">
        <v>10855.151999999996</v>
      </c>
      <c r="I55" s="19" t="s">
        <v>31</v>
      </c>
      <c r="J55">
        <v>164.96699999999998</v>
      </c>
      <c r="L55" s="19" t="s">
        <v>38</v>
      </c>
      <c r="M55">
        <v>2</v>
      </c>
      <c r="Q55" s="20">
        <v>45325</v>
      </c>
      <c r="R55">
        <v>164.96699999999998</v>
      </c>
      <c r="AB55" s="23" t="s">
        <v>29</v>
      </c>
    </row>
    <row r="56" spans="4:28" x14ac:dyDescent="0.25">
      <c r="I56" s="19" t="s">
        <v>25</v>
      </c>
      <c r="J56">
        <v>164.989</v>
      </c>
      <c r="L56" s="19" t="s">
        <v>46</v>
      </c>
      <c r="M56">
        <v>5</v>
      </c>
      <c r="Q56" s="20">
        <v>45326</v>
      </c>
      <c r="R56">
        <v>395.93399999999997</v>
      </c>
      <c r="AB56" s="22" t="s">
        <v>66</v>
      </c>
    </row>
    <row r="57" spans="4:28" x14ac:dyDescent="0.25">
      <c r="I57" s="19" t="s">
        <v>68</v>
      </c>
      <c r="J57">
        <v>10855.151999999995</v>
      </c>
      <c r="L57" s="19" t="s">
        <v>23</v>
      </c>
      <c r="M57">
        <v>1</v>
      </c>
      <c r="Q57" s="20" t="s">
        <v>68</v>
      </c>
      <c r="R57">
        <v>10855.151999999996</v>
      </c>
      <c r="AB57" s="20">
        <v>45302</v>
      </c>
    </row>
    <row r="58" spans="4:28" x14ac:dyDescent="0.25">
      <c r="L58" s="19" t="s">
        <v>40</v>
      </c>
      <c r="M58">
        <v>1</v>
      </c>
      <c r="AB58" s="23" t="s">
        <v>31</v>
      </c>
    </row>
    <row r="59" spans="4:28" x14ac:dyDescent="0.25">
      <c r="L59" s="19" t="s">
        <v>33</v>
      </c>
      <c r="M59">
        <v>7</v>
      </c>
      <c r="AB59" s="22" t="s">
        <v>66</v>
      </c>
    </row>
    <row r="60" spans="4:28" x14ac:dyDescent="0.25">
      <c r="L60" s="19" t="s">
        <v>59</v>
      </c>
      <c r="M60">
        <v>5</v>
      </c>
      <c r="AB60" s="23" t="s">
        <v>30</v>
      </c>
    </row>
    <row r="61" spans="4:28" x14ac:dyDescent="0.25">
      <c r="L61" s="19" t="s">
        <v>51</v>
      </c>
      <c r="M61">
        <v>3</v>
      </c>
      <c r="AB61" s="22" t="s">
        <v>66</v>
      </c>
    </row>
    <row r="62" spans="4:28" x14ac:dyDescent="0.25">
      <c r="L62" s="19" t="s">
        <v>10</v>
      </c>
      <c r="M62">
        <v>2</v>
      </c>
      <c r="AB62" s="20">
        <v>45303</v>
      </c>
    </row>
    <row r="63" spans="4:28" x14ac:dyDescent="0.25">
      <c r="L63" s="19" t="s">
        <v>19</v>
      </c>
      <c r="M63">
        <v>1</v>
      </c>
      <c r="AB63" s="23" t="s">
        <v>32</v>
      </c>
    </row>
    <row r="64" spans="4:28" x14ac:dyDescent="0.25">
      <c r="L64" s="19" t="s">
        <v>27</v>
      </c>
      <c r="M64">
        <v>3</v>
      </c>
      <c r="AB64" s="22" t="s">
        <v>66</v>
      </c>
    </row>
    <row r="65" spans="12:28" x14ac:dyDescent="0.25">
      <c r="L65" s="19" t="s">
        <v>15</v>
      </c>
      <c r="M65">
        <v>2</v>
      </c>
      <c r="AB65" s="23" t="s">
        <v>33</v>
      </c>
    </row>
    <row r="66" spans="12:28" x14ac:dyDescent="0.25">
      <c r="L66" s="19" t="s">
        <v>48</v>
      </c>
      <c r="M66">
        <v>2</v>
      </c>
      <c r="AB66" s="22" t="s">
        <v>66</v>
      </c>
    </row>
    <row r="67" spans="12:28" x14ac:dyDescent="0.25">
      <c r="L67" s="19" t="s">
        <v>43</v>
      </c>
      <c r="M67">
        <v>2</v>
      </c>
      <c r="AB67" s="20">
        <v>45304</v>
      </c>
    </row>
    <row r="68" spans="12:28" x14ac:dyDescent="0.25">
      <c r="L68" s="19" t="s">
        <v>35</v>
      </c>
      <c r="M68">
        <v>3</v>
      </c>
      <c r="AB68" s="23" t="s">
        <v>14</v>
      </c>
    </row>
    <row r="69" spans="12:28" x14ac:dyDescent="0.25">
      <c r="L69" s="19" t="s">
        <v>54</v>
      </c>
      <c r="M69">
        <v>7</v>
      </c>
      <c r="AB69" s="22" t="s">
        <v>66</v>
      </c>
    </row>
    <row r="70" spans="12:28" x14ac:dyDescent="0.25">
      <c r="L70" s="19" t="s">
        <v>24</v>
      </c>
      <c r="M70">
        <v>4</v>
      </c>
      <c r="AB70" s="23" t="s">
        <v>34</v>
      </c>
    </row>
    <row r="71" spans="12:28" x14ac:dyDescent="0.25">
      <c r="L71" s="19" t="s">
        <v>21</v>
      </c>
      <c r="M71">
        <v>2</v>
      </c>
      <c r="AB71" s="22" t="s">
        <v>66</v>
      </c>
    </row>
    <row r="72" spans="12:28" x14ac:dyDescent="0.25">
      <c r="L72" s="19" t="s">
        <v>58</v>
      </c>
      <c r="M72">
        <v>1</v>
      </c>
      <c r="AB72" s="20">
        <v>45305</v>
      </c>
    </row>
    <row r="73" spans="12:28" x14ac:dyDescent="0.25">
      <c r="L73" s="19" t="s">
        <v>30</v>
      </c>
      <c r="M73">
        <v>2</v>
      </c>
      <c r="AB73" s="23" t="s">
        <v>36</v>
      </c>
    </row>
    <row r="74" spans="12:28" x14ac:dyDescent="0.25">
      <c r="L74" s="19" t="s">
        <v>12</v>
      </c>
      <c r="M74">
        <v>5</v>
      </c>
      <c r="AB74" s="22" t="s">
        <v>66</v>
      </c>
    </row>
    <row r="75" spans="12:28" x14ac:dyDescent="0.25">
      <c r="L75" s="19" t="s">
        <v>50</v>
      </c>
      <c r="M75">
        <v>8</v>
      </c>
      <c r="AB75" s="23" t="s">
        <v>35</v>
      </c>
    </row>
    <row r="76" spans="12:28" x14ac:dyDescent="0.25">
      <c r="L76" s="19" t="s">
        <v>39</v>
      </c>
      <c r="M76">
        <v>3</v>
      </c>
      <c r="AB76" s="22" t="s">
        <v>66</v>
      </c>
    </row>
    <row r="77" spans="12:28" x14ac:dyDescent="0.25">
      <c r="L77" s="19" t="s">
        <v>22</v>
      </c>
      <c r="M77">
        <v>3</v>
      </c>
      <c r="AB77" s="20">
        <v>45306</v>
      </c>
    </row>
    <row r="78" spans="12:28" x14ac:dyDescent="0.25">
      <c r="L78" s="19" t="s">
        <v>17</v>
      </c>
      <c r="M78">
        <v>2</v>
      </c>
      <c r="AB78" s="23" t="s">
        <v>37</v>
      </c>
    </row>
    <row r="79" spans="12:28" x14ac:dyDescent="0.25">
      <c r="L79" s="19" t="s">
        <v>42</v>
      </c>
      <c r="M79">
        <v>1</v>
      </c>
      <c r="AB79" s="22" t="s">
        <v>66</v>
      </c>
    </row>
    <row r="80" spans="12:28" x14ac:dyDescent="0.25">
      <c r="L80" s="19" t="s">
        <v>53</v>
      </c>
      <c r="M80">
        <v>3</v>
      </c>
      <c r="AB80" s="23" t="s">
        <v>38</v>
      </c>
    </row>
    <row r="81" spans="12:28" x14ac:dyDescent="0.25">
      <c r="L81" s="19" t="s">
        <v>47</v>
      </c>
      <c r="M81">
        <v>7</v>
      </c>
      <c r="AB81" s="22" t="s">
        <v>66</v>
      </c>
    </row>
    <row r="82" spans="12:28" x14ac:dyDescent="0.25">
      <c r="L82" s="19" t="s">
        <v>34</v>
      </c>
      <c r="M82">
        <v>2</v>
      </c>
      <c r="AB82" s="20">
        <v>45307</v>
      </c>
    </row>
    <row r="83" spans="12:28" x14ac:dyDescent="0.25">
      <c r="L83" s="19" t="s">
        <v>20</v>
      </c>
      <c r="M83">
        <v>5</v>
      </c>
      <c r="AB83" s="23" t="s">
        <v>40</v>
      </c>
    </row>
    <row r="84" spans="12:28" x14ac:dyDescent="0.25">
      <c r="L84" s="19" t="s">
        <v>68</v>
      </c>
      <c r="M84">
        <v>168</v>
      </c>
      <c r="AB84" s="22" t="s">
        <v>66</v>
      </c>
    </row>
    <row r="85" spans="12:28" x14ac:dyDescent="0.25">
      <c r="AB85" s="23" t="s">
        <v>39</v>
      </c>
    </row>
    <row r="86" spans="12:28" x14ac:dyDescent="0.25">
      <c r="AB86" s="22" t="s">
        <v>66</v>
      </c>
    </row>
    <row r="87" spans="12:28" x14ac:dyDescent="0.25">
      <c r="AB87" s="20">
        <v>45308</v>
      </c>
    </row>
    <row r="88" spans="12:28" x14ac:dyDescent="0.25">
      <c r="AB88" s="23" t="s">
        <v>41</v>
      </c>
    </row>
    <row r="89" spans="12:28" x14ac:dyDescent="0.25">
      <c r="AB89" s="22" t="s">
        <v>66</v>
      </c>
    </row>
    <row r="90" spans="12:28" x14ac:dyDescent="0.25">
      <c r="AB90" s="23" t="s">
        <v>42</v>
      </c>
    </row>
    <row r="91" spans="12:28" x14ac:dyDescent="0.25">
      <c r="AB91" s="22" t="s">
        <v>66</v>
      </c>
    </row>
    <row r="92" spans="12:28" x14ac:dyDescent="0.25">
      <c r="AB92" s="20">
        <v>45309</v>
      </c>
    </row>
    <row r="93" spans="12:28" x14ac:dyDescent="0.25">
      <c r="AB93" s="23" t="s">
        <v>44</v>
      </c>
    </row>
    <row r="94" spans="12:28" x14ac:dyDescent="0.25">
      <c r="AB94" s="22" t="s">
        <v>66</v>
      </c>
    </row>
    <row r="95" spans="12:28" x14ac:dyDescent="0.25">
      <c r="AB95" s="23" t="s">
        <v>43</v>
      </c>
    </row>
    <row r="96" spans="12:28" x14ac:dyDescent="0.25">
      <c r="AB96" s="22" t="s">
        <v>66</v>
      </c>
    </row>
    <row r="97" spans="28:28" x14ac:dyDescent="0.25">
      <c r="AB97" s="20">
        <v>45310</v>
      </c>
    </row>
    <row r="98" spans="28:28" x14ac:dyDescent="0.25">
      <c r="AB98" s="23" t="s">
        <v>45</v>
      </c>
    </row>
    <row r="99" spans="28:28" x14ac:dyDescent="0.25">
      <c r="AB99" s="22" t="s">
        <v>66</v>
      </c>
    </row>
    <row r="100" spans="28:28" x14ac:dyDescent="0.25">
      <c r="AB100" s="23" t="s">
        <v>46</v>
      </c>
    </row>
    <row r="101" spans="28:28" x14ac:dyDescent="0.25">
      <c r="AB101" s="22" t="s">
        <v>66</v>
      </c>
    </row>
    <row r="102" spans="28:28" x14ac:dyDescent="0.25">
      <c r="AB102" s="20">
        <v>45311</v>
      </c>
    </row>
    <row r="103" spans="28:28" x14ac:dyDescent="0.25">
      <c r="AB103" s="23" t="s">
        <v>33</v>
      </c>
    </row>
    <row r="104" spans="28:28" x14ac:dyDescent="0.25">
      <c r="AB104" s="22" t="s">
        <v>66</v>
      </c>
    </row>
    <row r="105" spans="28:28" x14ac:dyDescent="0.25">
      <c r="AB105" s="23" t="s">
        <v>12</v>
      </c>
    </row>
    <row r="106" spans="28:28" x14ac:dyDescent="0.25">
      <c r="AB106" s="22" t="s">
        <v>66</v>
      </c>
    </row>
    <row r="107" spans="28:28" x14ac:dyDescent="0.25">
      <c r="AB107" s="20">
        <v>45312</v>
      </c>
    </row>
    <row r="108" spans="28:28" x14ac:dyDescent="0.25">
      <c r="AB108" s="23" t="s">
        <v>14</v>
      </c>
    </row>
    <row r="109" spans="28:28" x14ac:dyDescent="0.25">
      <c r="AB109" s="22" t="s">
        <v>66</v>
      </c>
    </row>
    <row r="110" spans="28:28" x14ac:dyDescent="0.25">
      <c r="AB110" s="23" t="s">
        <v>47</v>
      </c>
    </row>
    <row r="111" spans="28:28" x14ac:dyDescent="0.25">
      <c r="AB111" s="22" t="s">
        <v>66</v>
      </c>
    </row>
    <row r="112" spans="28:28" x14ac:dyDescent="0.25">
      <c r="AB112" s="20">
        <v>45313</v>
      </c>
    </row>
    <row r="113" spans="28:28" x14ac:dyDescent="0.25">
      <c r="AB113" s="23" t="s">
        <v>13</v>
      </c>
    </row>
    <row r="114" spans="28:28" x14ac:dyDescent="0.25">
      <c r="AB114" s="22" t="s">
        <v>66</v>
      </c>
    </row>
    <row r="115" spans="28:28" x14ac:dyDescent="0.25">
      <c r="AB115" s="23" t="s">
        <v>48</v>
      </c>
    </row>
    <row r="116" spans="28:28" x14ac:dyDescent="0.25">
      <c r="AB116" s="22" t="s">
        <v>66</v>
      </c>
    </row>
    <row r="117" spans="28:28" x14ac:dyDescent="0.25">
      <c r="AB117" s="20">
        <v>45314</v>
      </c>
    </row>
    <row r="118" spans="28:28" x14ac:dyDescent="0.25">
      <c r="AB118" s="23" t="s">
        <v>49</v>
      </c>
    </row>
    <row r="119" spans="28:28" x14ac:dyDescent="0.25">
      <c r="AB119" s="22" t="s">
        <v>66</v>
      </c>
    </row>
    <row r="120" spans="28:28" x14ac:dyDescent="0.25">
      <c r="AB120" s="23" t="s">
        <v>29</v>
      </c>
    </row>
    <row r="121" spans="28:28" x14ac:dyDescent="0.25">
      <c r="AB121" s="22" t="s">
        <v>66</v>
      </c>
    </row>
    <row r="122" spans="28:28" x14ac:dyDescent="0.25">
      <c r="AB122" s="20">
        <v>45315</v>
      </c>
    </row>
    <row r="123" spans="28:28" x14ac:dyDescent="0.25">
      <c r="AB123" s="23" t="s">
        <v>51</v>
      </c>
    </row>
    <row r="124" spans="28:28" x14ac:dyDescent="0.25">
      <c r="AB124" s="22" t="s">
        <v>66</v>
      </c>
    </row>
    <row r="125" spans="28:28" x14ac:dyDescent="0.25">
      <c r="AB125" s="23" t="s">
        <v>50</v>
      </c>
    </row>
    <row r="126" spans="28:28" x14ac:dyDescent="0.25">
      <c r="AB126" s="22" t="s">
        <v>66</v>
      </c>
    </row>
    <row r="127" spans="28:28" x14ac:dyDescent="0.25">
      <c r="AB127" s="20">
        <v>45316</v>
      </c>
    </row>
    <row r="128" spans="28:28" x14ac:dyDescent="0.25">
      <c r="AB128" s="23" t="s">
        <v>52</v>
      </c>
    </row>
    <row r="129" spans="28:28" x14ac:dyDescent="0.25">
      <c r="AB129" s="22" t="s">
        <v>66</v>
      </c>
    </row>
    <row r="130" spans="28:28" x14ac:dyDescent="0.25">
      <c r="AB130" s="23" t="s">
        <v>53</v>
      </c>
    </row>
    <row r="131" spans="28:28" x14ac:dyDescent="0.25">
      <c r="AB131" s="22" t="s">
        <v>66</v>
      </c>
    </row>
    <row r="132" spans="28:28" x14ac:dyDescent="0.25">
      <c r="AB132" s="20">
        <v>45317</v>
      </c>
    </row>
    <row r="133" spans="28:28" x14ac:dyDescent="0.25">
      <c r="AB133" s="23" t="s">
        <v>55</v>
      </c>
    </row>
    <row r="134" spans="28:28" x14ac:dyDescent="0.25">
      <c r="AB134" s="22" t="s">
        <v>66</v>
      </c>
    </row>
    <row r="135" spans="28:28" x14ac:dyDescent="0.25">
      <c r="AB135" s="23" t="s">
        <v>54</v>
      </c>
    </row>
    <row r="136" spans="28:28" x14ac:dyDescent="0.25">
      <c r="AB136" s="22" t="s">
        <v>66</v>
      </c>
    </row>
    <row r="137" spans="28:28" x14ac:dyDescent="0.25">
      <c r="AB137" s="20">
        <v>45318</v>
      </c>
    </row>
    <row r="138" spans="28:28" x14ac:dyDescent="0.25">
      <c r="AB138" s="23" t="s">
        <v>56</v>
      </c>
    </row>
    <row r="139" spans="28:28" x14ac:dyDescent="0.25">
      <c r="AB139" s="22" t="s">
        <v>66</v>
      </c>
    </row>
    <row r="140" spans="28:28" x14ac:dyDescent="0.25">
      <c r="AB140" s="23" t="s">
        <v>57</v>
      </c>
    </row>
    <row r="141" spans="28:28" x14ac:dyDescent="0.25">
      <c r="AB141" s="22" t="s">
        <v>66</v>
      </c>
    </row>
    <row r="142" spans="28:28" x14ac:dyDescent="0.25">
      <c r="AB142" s="20">
        <v>45319</v>
      </c>
    </row>
    <row r="143" spans="28:28" x14ac:dyDescent="0.25">
      <c r="AB143" s="23" t="s">
        <v>59</v>
      </c>
    </row>
    <row r="144" spans="28:28" x14ac:dyDescent="0.25">
      <c r="AB144" s="22" t="s">
        <v>66</v>
      </c>
    </row>
    <row r="145" spans="28:28" x14ac:dyDescent="0.25">
      <c r="AB145" s="23" t="s">
        <v>58</v>
      </c>
    </row>
    <row r="146" spans="28:28" x14ac:dyDescent="0.25">
      <c r="AB146" s="22" t="s">
        <v>66</v>
      </c>
    </row>
    <row r="147" spans="28:28" x14ac:dyDescent="0.25">
      <c r="AB147" s="20">
        <v>45320</v>
      </c>
    </row>
    <row r="148" spans="28:28" x14ac:dyDescent="0.25">
      <c r="AB148" s="23" t="s">
        <v>60</v>
      </c>
    </row>
    <row r="149" spans="28:28" x14ac:dyDescent="0.25">
      <c r="AB149" s="22" t="s">
        <v>66</v>
      </c>
    </row>
    <row r="150" spans="28:28" x14ac:dyDescent="0.25">
      <c r="AB150" s="23" t="s">
        <v>47</v>
      </c>
    </row>
    <row r="151" spans="28:28" x14ac:dyDescent="0.25">
      <c r="AB151" s="22" t="s">
        <v>66</v>
      </c>
    </row>
    <row r="152" spans="28:28" x14ac:dyDescent="0.25">
      <c r="AB152" s="20">
        <v>45321</v>
      </c>
    </row>
    <row r="153" spans="28:28" x14ac:dyDescent="0.25">
      <c r="AB153" s="23" t="s">
        <v>13</v>
      </c>
    </row>
    <row r="154" spans="28:28" x14ac:dyDescent="0.25">
      <c r="AB154" s="22" t="s">
        <v>66</v>
      </c>
    </row>
    <row r="155" spans="28:28" x14ac:dyDescent="0.25">
      <c r="AB155" s="23" t="s">
        <v>48</v>
      </c>
    </row>
    <row r="156" spans="28:28" x14ac:dyDescent="0.25">
      <c r="AB156" s="22" t="s">
        <v>66</v>
      </c>
    </row>
    <row r="157" spans="28:28" x14ac:dyDescent="0.25">
      <c r="AB157" s="20">
        <v>45322</v>
      </c>
    </row>
    <row r="158" spans="28:28" x14ac:dyDescent="0.25">
      <c r="AB158" s="23" t="s">
        <v>49</v>
      </c>
    </row>
    <row r="159" spans="28:28" x14ac:dyDescent="0.25">
      <c r="AB159" s="22" t="s">
        <v>66</v>
      </c>
    </row>
    <row r="160" spans="28:28" x14ac:dyDescent="0.25">
      <c r="AB160" s="23" t="s">
        <v>29</v>
      </c>
    </row>
    <row r="161" spans="28:28" x14ac:dyDescent="0.25">
      <c r="AB161" s="22" t="s">
        <v>66</v>
      </c>
    </row>
    <row r="162" spans="28:28" x14ac:dyDescent="0.25">
      <c r="AB162" s="20">
        <v>45323</v>
      </c>
    </row>
    <row r="163" spans="28:28" x14ac:dyDescent="0.25">
      <c r="AB163" s="23" t="s">
        <v>52</v>
      </c>
    </row>
    <row r="164" spans="28:28" x14ac:dyDescent="0.25">
      <c r="AB164" s="22" t="s">
        <v>67</v>
      </c>
    </row>
    <row r="165" spans="28:28" x14ac:dyDescent="0.25">
      <c r="AB165" s="23" t="s">
        <v>51</v>
      </c>
    </row>
    <row r="166" spans="28:28" x14ac:dyDescent="0.25">
      <c r="AB166" s="22" t="s">
        <v>67</v>
      </c>
    </row>
    <row r="167" spans="28:28" x14ac:dyDescent="0.25">
      <c r="AB167" s="23" t="s">
        <v>50</v>
      </c>
    </row>
    <row r="168" spans="28:28" x14ac:dyDescent="0.25">
      <c r="AB168" s="22" t="s">
        <v>67</v>
      </c>
    </row>
    <row r="169" spans="28:28" x14ac:dyDescent="0.25">
      <c r="AB169" s="20">
        <v>45324</v>
      </c>
    </row>
    <row r="170" spans="28:28" x14ac:dyDescent="0.25">
      <c r="AB170" s="23" t="s">
        <v>53</v>
      </c>
    </row>
    <row r="171" spans="28:28" x14ac:dyDescent="0.25">
      <c r="AB171" s="22" t="s">
        <v>67</v>
      </c>
    </row>
    <row r="172" spans="28:28" x14ac:dyDescent="0.25">
      <c r="AB172" s="20">
        <v>45325</v>
      </c>
    </row>
    <row r="173" spans="28:28" x14ac:dyDescent="0.25">
      <c r="AB173" s="23" t="s">
        <v>54</v>
      </c>
    </row>
    <row r="174" spans="28:28" x14ac:dyDescent="0.25">
      <c r="AB174" s="22" t="s">
        <v>67</v>
      </c>
    </row>
    <row r="175" spans="28:28" x14ac:dyDescent="0.25">
      <c r="AB175" s="20">
        <v>45326</v>
      </c>
    </row>
    <row r="176" spans="28:28" x14ac:dyDescent="0.25">
      <c r="AB176" s="23" t="s">
        <v>56</v>
      </c>
    </row>
    <row r="177" spans="28:28" x14ac:dyDescent="0.25">
      <c r="AB177" s="22" t="s">
        <v>67</v>
      </c>
    </row>
    <row r="178" spans="28:28" x14ac:dyDescent="0.25">
      <c r="AB178" s="23" t="s">
        <v>55</v>
      </c>
    </row>
    <row r="179" spans="28:28" x14ac:dyDescent="0.25">
      <c r="AB179" s="22" t="s">
        <v>67</v>
      </c>
    </row>
    <row r="180" spans="28:28" x14ac:dyDescent="0.25">
      <c r="AB180" s="23" t="s">
        <v>57</v>
      </c>
    </row>
    <row r="181" spans="28:28" x14ac:dyDescent="0.25">
      <c r="AB181" s="22" t="s">
        <v>67</v>
      </c>
    </row>
    <row r="182" spans="28:28" x14ac:dyDescent="0.25">
      <c r="AB182" s="20" t="s">
        <v>68</v>
      </c>
    </row>
  </sheetData>
  <pageMargins left="0.7" right="0.7" top="0.75" bottom="0.75" header="0.3" footer="0.3"/>
  <drawing r:id="rId10"/>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79CCC-A5AB-423C-9055-5A693CFAFF05}">
  <dimension ref="A1:AA77"/>
  <sheetViews>
    <sheetView showGridLines="0" tabSelected="1" topLeftCell="A43" zoomScale="75" zoomScaleNormal="100" workbookViewId="0">
      <selection activeCell="Q5" sqref="Q5"/>
    </sheetView>
  </sheetViews>
  <sheetFormatPr defaultRowHeight="15" x14ac:dyDescent="0.25"/>
  <cols>
    <col min="25" max="25" width="14.7109375" bestFit="1" customWidth="1"/>
  </cols>
  <sheetData>
    <row r="1" spans="1:27" x14ac:dyDescent="0.25">
      <c r="A1" s="21"/>
      <c r="B1" s="21"/>
      <c r="C1" s="21"/>
      <c r="D1" s="21"/>
      <c r="E1" s="21"/>
      <c r="F1" s="21"/>
      <c r="G1" s="21"/>
      <c r="H1" s="21"/>
      <c r="I1" s="21"/>
      <c r="J1" s="21"/>
      <c r="K1" s="21"/>
      <c r="L1" s="21"/>
      <c r="M1" s="21"/>
      <c r="N1" s="21"/>
      <c r="O1" s="21"/>
      <c r="P1" s="21"/>
      <c r="Q1" s="21"/>
      <c r="R1" s="21"/>
      <c r="S1" s="21"/>
      <c r="T1" s="21"/>
      <c r="U1" s="21"/>
      <c r="V1" s="21"/>
      <c r="W1" s="24"/>
      <c r="X1" s="24"/>
    </row>
    <row r="2" spans="1:27" x14ac:dyDescent="0.25">
      <c r="A2" s="21"/>
      <c r="B2" s="21"/>
      <c r="C2" s="21"/>
      <c r="D2" s="21"/>
      <c r="E2" s="21"/>
      <c r="F2" s="21"/>
      <c r="G2" s="21"/>
      <c r="H2" s="21"/>
      <c r="I2" s="21"/>
      <c r="J2" s="21"/>
      <c r="K2" s="21"/>
      <c r="L2" s="21"/>
      <c r="M2" s="21"/>
      <c r="N2" s="21"/>
      <c r="O2" s="21"/>
      <c r="P2" s="21"/>
      <c r="Q2" s="21"/>
      <c r="R2" s="21"/>
      <c r="S2" s="21"/>
      <c r="T2" s="21"/>
      <c r="U2" s="21"/>
      <c r="V2" s="21"/>
      <c r="W2" s="24"/>
      <c r="X2" s="24"/>
    </row>
    <row r="3" spans="1:27" x14ac:dyDescent="0.25">
      <c r="A3" s="21"/>
      <c r="B3" s="21"/>
      <c r="C3" s="21"/>
      <c r="D3" s="21"/>
      <c r="E3" s="21"/>
      <c r="F3" s="21"/>
      <c r="G3" s="21"/>
      <c r="H3" s="21"/>
      <c r="I3" s="21"/>
      <c r="J3" s="21"/>
      <c r="K3" s="21"/>
      <c r="L3" s="21"/>
      <c r="M3" s="21"/>
      <c r="N3" s="21"/>
      <c r="O3" s="21"/>
      <c r="P3" s="21"/>
      <c r="Q3" s="21"/>
      <c r="R3" s="21"/>
      <c r="S3" s="21"/>
      <c r="T3" s="21"/>
      <c r="U3" s="21"/>
      <c r="V3" s="21"/>
      <c r="W3" s="24"/>
      <c r="X3" s="24"/>
    </row>
    <row r="4" spans="1:27" x14ac:dyDescent="0.25">
      <c r="A4" s="21"/>
      <c r="B4" s="21"/>
      <c r="C4" s="21"/>
      <c r="D4" s="21"/>
      <c r="E4" s="21"/>
      <c r="F4" s="21"/>
      <c r="G4" s="21"/>
      <c r="H4" s="21"/>
      <c r="I4" s="21"/>
      <c r="J4" s="21"/>
      <c r="K4" s="21"/>
      <c r="L4" s="21"/>
      <c r="M4" s="21"/>
      <c r="N4" s="21"/>
      <c r="O4" s="21"/>
      <c r="P4" s="21"/>
      <c r="Q4" s="21"/>
      <c r="R4" s="21"/>
      <c r="S4" s="21"/>
      <c r="T4" s="21"/>
      <c r="U4" s="21"/>
      <c r="V4" s="21"/>
      <c r="W4" s="24"/>
      <c r="X4" s="24"/>
    </row>
    <row r="5" spans="1:27" x14ac:dyDescent="0.25">
      <c r="A5" s="21"/>
      <c r="B5" s="21"/>
      <c r="C5" s="21"/>
      <c r="D5" s="21"/>
      <c r="E5" s="21"/>
      <c r="F5" s="21"/>
      <c r="G5" s="21"/>
      <c r="H5" s="21"/>
      <c r="I5" s="21"/>
      <c r="J5" s="21"/>
      <c r="K5" s="21"/>
      <c r="L5" s="21"/>
      <c r="M5" s="21"/>
      <c r="N5" s="21"/>
      <c r="O5" s="21"/>
      <c r="P5" s="21"/>
      <c r="Q5" s="21"/>
      <c r="R5" s="21"/>
      <c r="S5" s="21"/>
      <c r="T5" s="21"/>
      <c r="U5" s="21"/>
      <c r="V5" s="21"/>
      <c r="W5" s="24"/>
      <c r="X5" s="24"/>
    </row>
    <row r="6" spans="1:27" x14ac:dyDescent="0.25">
      <c r="A6" s="21"/>
      <c r="B6" s="21"/>
      <c r="C6" s="21"/>
      <c r="D6" s="21"/>
      <c r="E6" s="21"/>
      <c r="F6" s="21"/>
      <c r="G6" s="21"/>
      <c r="H6" s="21"/>
      <c r="I6" s="21"/>
      <c r="J6" s="21"/>
      <c r="K6" s="21"/>
      <c r="L6" s="21"/>
      <c r="M6" s="21"/>
      <c r="N6" s="21"/>
      <c r="O6" s="21"/>
      <c r="P6" s="21"/>
      <c r="Q6" s="21"/>
      <c r="R6" s="21"/>
      <c r="S6" s="21"/>
      <c r="T6" s="21"/>
      <c r="U6" s="21"/>
      <c r="V6" s="21"/>
      <c r="W6" s="24"/>
      <c r="X6" s="24"/>
      <c r="Y6" s="25"/>
      <c r="Z6" s="25">
        <f>MAX('SuperMarket Sales'!I:I)</f>
        <v>329.96699999999998</v>
      </c>
      <c r="AA6" s="25" t="s">
        <v>75</v>
      </c>
    </row>
    <row r="7" spans="1:27" x14ac:dyDescent="0.25">
      <c r="A7" s="21"/>
      <c r="B7" s="21"/>
      <c r="C7" s="21"/>
      <c r="D7" s="21"/>
      <c r="E7" s="21"/>
      <c r="F7" s="21"/>
      <c r="G7" s="21"/>
      <c r="H7" s="21"/>
      <c r="I7" s="21"/>
      <c r="J7" s="21"/>
      <c r="K7" s="21"/>
      <c r="L7" s="21"/>
      <c r="M7" s="21"/>
      <c r="N7" s="21"/>
      <c r="O7" s="21"/>
      <c r="P7" s="21"/>
      <c r="Q7" s="21"/>
      <c r="R7" s="21"/>
      <c r="S7" s="21"/>
      <c r="T7" s="21"/>
      <c r="U7" s="21"/>
      <c r="V7" s="21"/>
      <c r="W7" s="24"/>
      <c r="X7" s="24"/>
    </row>
    <row r="8" spans="1:27" x14ac:dyDescent="0.25">
      <c r="A8" s="21"/>
      <c r="B8" s="21"/>
      <c r="C8" s="21"/>
      <c r="D8" s="21"/>
      <c r="E8" s="21"/>
      <c r="F8" s="21"/>
      <c r="G8" s="21"/>
      <c r="H8" s="21"/>
      <c r="I8" s="21"/>
      <c r="J8" s="21"/>
      <c r="K8" s="21"/>
      <c r="L8" s="21"/>
      <c r="M8" s="21"/>
      <c r="N8" s="21"/>
      <c r="O8" s="21"/>
      <c r="P8" s="21"/>
      <c r="Q8" s="21"/>
      <c r="R8" s="21"/>
      <c r="S8" s="21"/>
      <c r="T8" s="21"/>
      <c r="U8" s="21"/>
      <c r="V8" s="21"/>
      <c r="W8" s="24"/>
      <c r="X8" s="24"/>
    </row>
    <row r="9" spans="1:27" x14ac:dyDescent="0.25">
      <c r="A9" s="21"/>
      <c r="B9" s="21"/>
      <c r="C9" s="21"/>
      <c r="D9" s="21"/>
      <c r="E9" s="21"/>
      <c r="F9" s="21"/>
      <c r="G9" s="21"/>
      <c r="H9" s="21"/>
      <c r="I9" s="21"/>
      <c r="J9" s="21"/>
      <c r="K9" s="21"/>
      <c r="L9" s="21"/>
      <c r="M9" s="21"/>
      <c r="N9" s="21"/>
      <c r="O9" s="21"/>
      <c r="P9" s="21"/>
      <c r="Q9" s="21"/>
      <c r="R9" s="21"/>
      <c r="S9" s="21"/>
      <c r="T9" s="21"/>
      <c r="U9" s="21"/>
      <c r="V9" s="21"/>
      <c r="W9" s="24"/>
      <c r="X9" s="24"/>
      <c r="Y9">
        <f>MIN('SuperMarket Sales'!I:I)</f>
        <v>0.1</v>
      </c>
      <c r="Z9" t="s">
        <v>77</v>
      </c>
      <c r="AA9" t="s">
        <v>76</v>
      </c>
    </row>
    <row r="10" spans="1:27" x14ac:dyDescent="0.25">
      <c r="A10" s="21"/>
      <c r="B10" s="21"/>
      <c r="C10" s="21"/>
      <c r="D10" s="21"/>
      <c r="E10" s="21"/>
      <c r="F10" s="21"/>
      <c r="G10" s="21"/>
      <c r="H10" s="21"/>
      <c r="I10" s="21"/>
      <c r="J10" s="21"/>
      <c r="K10" s="21"/>
      <c r="L10" s="21"/>
      <c r="M10" s="21"/>
      <c r="N10" s="21"/>
      <c r="O10" s="21"/>
      <c r="P10" s="21"/>
      <c r="Q10" s="21"/>
      <c r="R10" s="21"/>
      <c r="S10" s="21"/>
      <c r="T10" s="21"/>
      <c r="U10" s="21"/>
      <c r="V10" s="21"/>
      <c r="W10" s="24"/>
      <c r="X10" s="24"/>
    </row>
    <row r="11" spans="1:27" x14ac:dyDescent="0.25">
      <c r="A11" s="21"/>
      <c r="B11" s="21"/>
      <c r="C11" s="21"/>
      <c r="D11" s="21"/>
      <c r="E11" s="21"/>
      <c r="F11" s="21"/>
      <c r="G11" s="21"/>
      <c r="H11" s="21"/>
      <c r="I11" s="21"/>
      <c r="J11" s="21"/>
      <c r="K11" s="21"/>
      <c r="L11" s="21"/>
      <c r="M11" s="21"/>
      <c r="N11" s="21"/>
      <c r="O11" s="21"/>
      <c r="P11" s="21"/>
      <c r="Q11" s="21"/>
      <c r="R11" s="21"/>
      <c r="S11" s="21"/>
      <c r="T11" s="21"/>
      <c r="U11" s="21"/>
      <c r="V11" s="21"/>
      <c r="W11" s="24"/>
      <c r="X11" s="24"/>
      <c r="Y11">
        <f>SUM('SuperMarket Sales'!G:G)</f>
        <v>168</v>
      </c>
      <c r="Z11" t="s">
        <v>74</v>
      </c>
    </row>
    <row r="12" spans="1:27" x14ac:dyDescent="0.25">
      <c r="A12" s="21"/>
      <c r="B12" s="21"/>
      <c r="C12" s="21"/>
      <c r="D12" s="21"/>
      <c r="E12" s="21"/>
      <c r="F12" s="21"/>
      <c r="G12" s="21"/>
      <c r="H12" s="21"/>
      <c r="I12" s="21"/>
      <c r="J12" s="21"/>
      <c r="K12" s="21"/>
      <c r="L12" s="21"/>
      <c r="M12" s="21"/>
      <c r="N12" s="21"/>
      <c r="O12" s="21"/>
      <c r="P12" s="21"/>
      <c r="Q12" s="21"/>
      <c r="R12" s="21"/>
      <c r="S12" s="21"/>
      <c r="T12" s="21"/>
      <c r="U12" s="21"/>
      <c r="V12" s="21"/>
      <c r="W12" s="24"/>
      <c r="X12" s="24"/>
    </row>
    <row r="13" spans="1:27" x14ac:dyDescent="0.25">
      <c r="A13" s="21"/>
      <c r="B13" s="21"/>
      <c r="C13" s="21"/>
      <c r="D13" s="21"/>
      <c r="E13" s="21"/>
      <c r="F13" s="21"/>
      <c r="G13" s="21"/>
      <c r="H13" s="21"/>
      <c r="I13" s="21"/>
      <c r="J13" s="21"/>
      <c r="K13" s="21"/>
      <c r="L13" s="21"/>
      <c r="M13" s="21"/>
      <c r="N13" s="21"/>
      <c r="O13" s="21"/>
      <c r="P13" s="21"/>
      <c r="Q13" s="21"/>
      <c r="R13" s="21"/>
      <c r="S13" s="21"/>
      <c r="T13" s="21"/>
      <c r="U13" s="21"/>
      <c r="V13" s="21"/>
      <c r="W13" s="24"/>
      <c r="X13" s="24"/>
    </row>
    <row r="14" spans="1:27" x14ac:dyDescent="0.25">
      <c r="A14" s="21"/>
      <c r="B14" s="21"/>
      <c r="C14" s="21"/>
      <c r="D14" s="21"/>
      <c r="E14" s="21"/>
      <c r="F14" s="21"/>
      <c r="G14" s="21"/>
      <c r="H14" s="21"/>
      <c r="I14" s="21"/>
      <c r="J14" s="21"/>
      <c r="K14" s="21"/>
      <c r="L14" s="21"/>
      <c r="M14" s="21"/>
      <c r="N14" s="21"/>
      <c r="O14" s="21"/>
      <c r="P14" s="21"/>
      <c r="Q14" s="21"/>
      <c r="R14" s="21"/>
      <c r="S14" s="21"/>
      <c r="T14" s="21"/>
      <c r="U14" s="21"/>
      <c r="V14" s="21"/>
      <c r="W14" s="24"/>
      <c r="X14" s="24"/>
      <c r="Y14" s="25">
        <f>SUM('SuperMarket Sales'!I:I)</f>
        <v>10855.251999999991</v>
      </c>
      <c r="Z14" t="s">
        <v>78</v>
      </c>
    </row>
    <row r="15" spans="1:27" x14ac:dyDescent="0.25">
      <c r="A15" s="21"/>
      <c r="B15" s="21"/>
      <c r="C15" s="21"/>
      <c r="D15" s="21"/>
      <c r="E15" s="21"/>
      <c r="F15" s="21"/>
      <c r="G15" s="21"/>
      <c r="H15" s="21"/>
      <c r="I15" s="21"/>
      <c r="J15" s="21"/>
      <c r="K15" s="21"/>
      <c r="L15" s="21"/>
      <c r="M15" s="21"/>
      <c r="N15" s="21"/>
      <c r="O15" s="21"/>
      <c r="P15" s="21"/>
      <c r="Q15" s="21"/>
      <c r="R15" s="21"/>
      <c r="S15" s="21"/>
      <c r="T15" s="21"/>
      <c r="U15" s="21"/>
      <c r="V15" s="21"/>
      <c r="W15" s="24"/>
      <c r="X15" s="24"/>
    </row>
    <row r="16" spans="1:27" x14ac:dyDescent="0.25">
      <c r="A16" s="21"/>
      <c r="B16" s="21"/>
      <c r="C16" s="21"/>
      <c r="D16" s="21"/>
      <c r="E16" s="21"/>
      <c r="F16" s="21"/>
      <c r="G16" s="21"/>
      <c r="H16" s="21"/>
      <c r="I16" s="21"/>
      <c r="J16" s="21"/>
      <c r="K16" s="21"/>
      <c r="L16" s="21"/>
      <c r="M16" s="21"/>
      <c r="N16" s="21"/>
      <c r="O16" s="21"/>
      <c r="P16" s="21"/>
      <c r="Q16" s="21"/>
      <c r="R16" s="21"/>
      <c r="S16" s="21"/>
      <c r="T16" s="21"/>
      <c r="U16" s="21"/>
      <c r="V16" s="21"/>
      <c r="W16" s="24"/>
      <c r="X16" s="24">
        <f>COUNTA('SuperMarket Sales'!B:B)-1</f>
        <v>71</v>
      </c>
      <c r="Y16" t="s">
        <v>73</v>
      </c>
    </row>
    <row r="17" spans="1:25" x14ac:dyDescent="0.25">
      <c r="A17" s="21"/>
      <c r="B17" s="21"/>
      <c r="C17" s="21"/>
      <c r="D17" s="21"/>
      <c r="E17" s="21"/>
      <c r="F17" s="21"/>
      <c r="G17" s="21"/>
      <c r="H17" s="21"/>
      <c r="I17" s="21"/>
      <c r="J17" s="21"/>
      <c r="K17" s="21"/>
      <c r="L17" s="21"/>
      <c r="M17" s="21"/>
      <c r="N17" s="21"/>
      <c r="O17" s="21"/>
      <c r="P17" s="21"/>
      <c r="Q17" s="21"/>
      <c r="R17" s="21"/>
      <c r="S17" s="21"/>
      <c r="T17" s="21"/>
      <c r="U17" s="21"/>
      <c r="V17" s="21"/>
      <c r="W17" s="24"/>
      <c r="X17" s="24"/>
    </row>
    <row r="18" spans="1:25" x14ac:dyDescent="0.25">
      <c r="A18" s="21"/>
      <c r="B18" s="21"/>
      <c r="C18" s="21"/>
      <c r="D18" s="21"/>
      <c r="E18" s="21"/>
      <c r="F18" s="21"/>
      <c r="G18" s="21"/>
      <c r="H18" s="21"/>
      <c r="I18" s="21"/>
      <c r="J18" s="21"/>
      <c r="K18" s="21"/>
      <c r="L18" s="21"/>
      <c r="M18" s="21"/>
      <c r="N18" s="21"/>
      <c r="O18" s="21"/>
      <c r="P18" s="21"/>
      <c r="Q18" s="21"/>
      <c r="R18" s="21"/>
      <c r="S18" s="21"/>
      <c r="T18" s="21"/>
      <c r="U18" s="21"/>
      <c r="V18" s="21"/>
      <c r="W18" s="24"/>
      <c r="X18" s="26">
        <f>AVERAGE('SuperMarket Sales'!I:I)</f>
        <v>152.8908732394365</v>
      </c>
      <c r="Y18" t="s">
        <v>72</v>
      </c>
    </row>
    <row r="19" spans="1:25" x14ac:dyDescent="0.25">
      <c r="A19" s="21"/>
      <c r="B19" s="21"/>
      <c r="C19" s="21"/>
      <c r="D19" s="21"/>
      <c r="E19" s="21"/>
      <c r="F19" s="21"/>
      <c r="G19" s="21"/>
      <c r="H19" s="21"/>
      <c r="I19" s="21"/>
      <c r="J19" s="21"/>
      <c r="K19" s="21"/>
      <c r="L19" s="21"/>
      <c r="M19" s="21"/>
      <c r="N19" s="21"/>
      <c r="O19" s="21"/>
      <c r="P19" s="21"/>
      <c r="Q19" s="21"/>
      <c r="R19" s="21"/>
      <c r="S19" s="21"/>
      <c r="T19" s="21"/>
      <c r="U19" s="21"/>
      <c r="V19" s="21"/>
      <c r="W19" s="24"/>
      <c r="X19" s="24"/>
    </row>
    <row r="20" spans="1:25" x14ac:dyDescent="0.25">
      <c r="A20" s="21"/>
      <c r="B20" s="21"/>
      <c r="C20" s="21"/>
      <c r="D20" s="21"/>
      <c r="E20" s="21"/>
      <c r="F20" s="21"/>
      <c r="G20" s="21"/>
      <c r="H20" s="21"/>
      <c r="I20" s="21"/>
      <c r="J20" s="21"/>
      <c r="K20" s="21"/>
      <c r="L20" s="21"/>
      <c r="M20" s="21"/>
      <c r="N20" s="21"/>
      <c r="O20" s="21"/>
      <c r="P20" s="21"/>
      <c r="Q20" s="21"/>
      <c r="R20" s="21"/>
      <c r="S20" s="21"/>
      <c r="T20" s="21"/>
      <c r="U20" s="21"/>
      <c r="V20" s="21"/>
      <c r="W20" s="24"/>
      <c r="X20" s="24"/>
    </row>
    <row r="21" spans="1:25" x14ac:dyDescent="0.25">
      <c r="A21" s="21"/>
      <c r="B21" s="21"/>
      <c r="C21" s="21"/>
      <c r="D21" s="21"/>
      <c r="E21" s="21"/>
      <c r="F21" s="21"/>
      <c r="G21" s="21"/>
      <c r="H21" s="21"/>
      <c r="I21" s="21"/>
      <c r="J21" s="21"/>
      <c r="K21" s="21"/>
      <c r="L21" s="21"/>
      <c r="M21" s="21"/>
      <c r="N21" s="21"/>
      <c r="O21" s="21"/>
      <c r="P21" s="21"/>
      <c r="Q21" s="21"/>
      <c r="R21" s="21"/>
      <c r="S21" s="21"/>
      <c r="T21" s="21"/>
      <c r="U21" s="21"/>
      <c r="V21" s="21"/>
      <c r="W21" s="24"/>
      <c r="X21" s="24"/>
    </row>
    <row r="22" spans="1:25" x14ac:dyDescent="0.25">
      <c r="A22" s="21"/>
      <c r="B22" s="21"/>
      <c r="C22" s="21"/>
      <c r="D22" s="21"/>
      <c r="E22" s="21"/>
      <c r="F22" s="21"/>
      <c r="G22" s="21"/>
      <c r="H22" s="21"/>
      <c r="I22" s="21"/>
      <c r="J22" s="21"/>
      <c r="K22" s="21"/>
      <c r="L22" s="21"/>
      <c r="M22" s="21"/>
      <c r="N22" s="21"/>
      <c r="O22" s="21"/>
      <c r="P22" s="21"/>
      <c r="Q22" s="21"/>
      <c r="R22" s="21"/>
      <c r="S22" s="21"/>
      <c r="T22" s="21"/>
      <c r="U22" s="21"/>
      <c r="V22" s="21"/>
      <c r="W22" s="24"/>
      <c r="X22" s="24"/>
    </row>
    <row r="23" spans="1:25" x14ac:dyDescent="0.25">
      <c r="A23" s="21"/>
      <c r="B23" s="21"/>
      <c r="C23" s="21"/>
      <c r="D23" s="21"/>
      <c r="E23" s="21"/>
      <c r="F23" s="21"/>
      <c r="G23" s="21"/>
      <c r="H23" s="21"/>
      <c r="I23" s="21"/>
      <c r="J23" s="21"/>
      <c r="K23" s="21"/>
      <c r="L23" s="21"/>
      <c r="M23" s="21"/>
      <c r="N23" s="21"/>
      <c r="O23" s="21"/>
      <c r="P23" s="21"/>
      <c r="Q23" s="21"/>
      <c r="R23" s="21"/>
      <c r="S23" s="21"/>
      <c r="T23" s="21"/>
      <c r="U23" s="21"/>
      <c r="V23" s="21"/>
      <c r="W23" s="24"/>
      <c r="X23" s="24"/>
    </row>
    <row r="24" spans="1:25" x14ac:dyDescent="0.25">
      <c r="A24" s="21"/>
      <c r="B24" s="21"/>
      <c r="C24" s="21"/>
      <c r="D24" s="21"/>
      <c r="E24" s="21"/>
      <c r="F24" s="21"/>
      <c r="G24" s="21"/>
      <c r="H24" s="21"/>
      <c r="I24" s="21"/>
      <c r="J24" s="21"/>
      <c r="K24" s="21"/>
      <c r="L24" s="21"/>
      <c r="M24" s="21"/>
      <c r="N24" s="21"/>
      <c r="O24" s="21"/>
      <c r="P24" s="21"/>
      <c r="Q24" s="21"/>
      <c r="R24" s="21"/>
      <c r="S24" s="21"/>
      <c r="T24" s="21"/>
      <c r="U24" s="21"/>
      <c r="V24" s="21"/>
      <c r="W24" s="24"/>
      <c r="X24" s="24"/>
    </row>
    <row r="25" spans="1:25" x14ac:dyDescent="0.25">
      <c r="A25" s="21"/>
      <c r="B25" s="21"/>
      <c r="C25" s="21"/>
      <c r="D25" s="21"/>
      <c r="E25" s="21"/>
      <c r="F25" s="21"/>
      <c r="G25" s="21"/>
      <c r="H25" s="21"/>
      <c r="I25" s="21"/>
      <c r="J25" s="21"/>
      <c r="K25" s="21"/>
      <c r="L25" s="21"/>
      <c r="M25" s="21"/>
      <c r="N25" s="21"/>
      <c r="O25" s="21"/>
      <c r="P25" s="21"/>
      <c r="Q25" s="21"/>
      <c r="R25" s="21"/>
      <c r="S25" s="21"/>
      <c r="T25" s="21"/>
      <c r="U25" s="21"/>
      <c r="V25" s="21"/>
      <c r="W25" s="24"/>
      <c r="X25" s="24"/>
    </row>
    <row r="26" spans="1:25" x14ac:dyDescent="0.25">
      <c r="A26" s="21"/>
      <c r="B26" s="21"/>
      <c r="C26" s="21"/>
      <c r="D26" s="21"/>
      <c r="E26" s="21"/>
      <c r="F26" s="21"/>
      <c r="G26" s="21"/>
      <c r="H26" s="21"/>
      <c r="I26" s="21"/>
      <c r="J26" s="21"/>
      <c r="K26" s="21"/>
      <c r="L26" s="21"/>
      <c r="M26" s="21"/>
      <c r="N26" s="21"/>
      <c r="O26" s="21"/>
      <c r="P26" s="21"/>
      <c r="Q26" s="21"/>
      <c r="R26" s="21"/>
      <c r="S26" s="21"/>
      <c r="T26" s="21"/>
      <c r="U26" s="21"/>
      <c r="V26" s="21"/>
      <c r="W26" s="24"/>
      <c r="X26" s="24"/>
    </row>
    <row r="27" spans="1:25" x14ac:dyDescent="0.25">
      <c r="A27" s="21"/>
      <c r="B27" s="21"/>
      <c r="C27" s="21"/>
      <c r="D27" s="21"/>
      <c r="E27" s="21"/>
      <c r="F27" s="21"/>
      <c r="G27" s="21"/>
      <c r="H27" s="21"/>
      <c r="I27" s="21"/>
      <c r="J27" s="21"/>
      <c r="K27" s="21"/>
      <c r="L27" s="21"/>
      <c r="M27" s="21"/>
      <c r="N27" s="21"/>
      <c r="O27" s="21"/>
      <c r="P27" s="21"/>
      <c r="Q27" s="21"/>
      <c r="R27" s="21"/>
      <c r="S27" s="21"/>
      <c r="T27" s="21"/>
      <c r="U27" s="21"/>
      <c r="V27" s="21"/>
      <c r="W27" s="24"/>
      <c r="X27" s="24"/>
    </row>
    <row r="28" spans="1:25" x14ac:dyDescent="0.25">
      <c r="A28" s="21"/>
      <c r="B28" s="21"/>
      <c r="C28" s="21"/>
      <c r="D28" s="21"/>
      <c r="E28" s="21"/>
      <c r="F28" s="21"/>
      <c r="G28" s="21"/>
      <c r="H28" s="21"/>
      <c r="I28" s="21"/>
      <c r="J28" s="21"/>
      <c r="K28" s="21"/>
      <c r="L28" s="21"/>
      <c r="M28" s="21"/>
      <c r="N28" s="21"/>
      <c r="O28" s="21"/>
      <c r="P28" s="21"/>
      <c r="Q28" s="21"/>
      <c r="R28" s="21"/>
      <c r="S28" s="21"/>
      <c r="T28" s="21"/>
      <c r="U28" s="21"/>
      <c r="V28" s="21"/>
      <c r="W28" s="24"/>
      <c r="X28" s="24"/>
    </row>
    <row r="29" spans="1:25" x14ac:dyDescent="0.25">
      <c r="A29" s="21"/>
      <c r="B29" s="21"/>
      <c r="C29" s="21"/>
      <c r="D29" s="21"/>
      <c r="E29" s="21"/>
      <c r="F29" s="21"/>
      <c r="G29" s="21"/>
      <c r="H29" s="21"/>
      <c r="I29" s="21"/>
      <c r="J29" s="21"/>
      <c r="K29" s="21"/>
      <c r="L29" s="21"/>
      <c r="M29" s="21"/>
      <c r="N29" s="21"/>
      <c r="O29" s="21"/>
      <c r="P29" s="21"/>
      <c r="Q29" s="21"/>
      <c r="R29" s="21"/>
      <c r="S29" s="21"/>
      <c r="T29" s="21"/>
      <c r="U29" s="21"/>
      <c r="V29" s="21"/>
      <c r="W29" s="24"/>
      <c r="X29" s="24"/>
    </row>
    <row r="30" spans="1:25" x14ac:dyDescent="0.25">
      <c r="A30" s="21"/>
      <c r="B30" s="21"/>
      <c r="C30" s="21"/>
      <c r="D30" s="21"/>
      <c r="E30" s="21"/>
      <c r="F30" s="21"/>
      <c r="G30" s="21"/>
      <c r="H30" s="21"/>
      <c r="I30" s="21"/>
      <c r="J30" s="21"/>
      <c r="K30" s="21"/>
      <c r="L30" s="21"/>
      <c r="M30" s="21"/>
      <c r="N30" s="21"/>
      <c r="O30" s="21"/>
      <c r="P30" s="21"/>
      <c r="Q30" s="21"/>
      <c r="R30" s="21"/>
      <c r="S30" s="21"/>
      <c r="T30" s="21"/>
      <c r="U30" s="21"/>
      <c r="V30" s="21"/>
      <c r="W30" s="24"/>
      <c r="X30" s="24"/>
    </row>
    <row r="31" spans="1:25" x14ac:dyDescent="0.25">
      <c r="A31" s="21"/>
      <c r="B31" s="21"/>
      <c r="C31" s="21"/>
      <c r="D31" s="21"/>
      <c r="E31" s="21"/>
      <c r="F31" s="21"/>
      <c r="G31" s="21"/>
      <c r="H31" s="21"/>
      <c r="I31" s="21"/>
      <c r="J31" s="21"/>
      <c r="K31" s="21"/>
      <c r="L31" s="21"/>
      <c r="M31" s="21"/>
      <c r="N31" s="21"/>
      <c r="O31" s="21"/>
      <c r="P31" s="21"/>
      <c r="Q31" s="21"/>
      <c r="R31" s="21"/>
      <c r="S31" s="21"/>
      <c r="T31" s="21"/>
      <c r="U31" s="21"/>
      <c r="V31" s="21"/>
      <c r="W31" s="24"/>
      <c r="X31" s="24"/>
    </row>
    <row r="32" spans="1:25" x14ac:dyDescent="0.25">
      <c r="A32" s="21"/>
      <c r="B32" s="21"/>
      <c r="C32" s="21"/>
      <c r="D32" s="21"/>
      <c r="E32" s="21"/>
      <c r="F32" s="21"/>
      <c r="G32" s="21"/>
      <c r="H32" s="21"/>
      <c r="I32" s="21"/>
      <c r="J32" s="21"/>
      <c r="K32" s="21"/>
      <c r="L32" s="21"/>
      <c r="M32" s="21"/>
      <c r="N32" s="21"/>
      <c r="O32" s="21"/>
      <c r="P32" s="21"/>
      <c r="Q32" s="21"/>
      <c r="R32" s="21"/>
      <c r="S32" s="21"/>
      <c r="T32" s="21"/>
      <c r="U32" s="21"/>
      <c r="V32" s="21"/>
      <c r="W32" s="24"/>
      <c r="X32" s="24"/>
    </row>
    <row r="33" spans="1:24" x14ac:dyDescent="0.25">
      <c r="A33" s="21"/>
      <c r="B33" s="21"/>
      <c r="C33" s="21"/>
      <c r="D33" s="21"/>
      <c r="E33" s="21"/>
      <c r="F33" s="21"/>
      <c r="G33" s="21"/>
      <c r="H33" s="21"/>
      <c r="I33" s="21"/>
      <c r="J33" s="21"/>
      <c r="K33" s="21"/>
      <c r="L33" s="21"/>
      <c r="M33" s="21"/>
      <c r="N33" s="21"/>
      <c r="O33" s="21"/>
      <c r="P33" s="21"/>
      <c r="Q33" s="21"/>
      <c r="R33" s="21"/>
      <c r="S33" s="21"/>
      <c r="T33" s="21"/>
      <c r="U33" s="21"/>
      <c r="V33" s="21"/>
      <c r="W33" s="24"/>
      <c r="X33" s="24"/>
    </row>
    <row r="34" spans="1:24" x14ac:dyDescent="0.25">
      <c r="A34" s="21"/>
      <c r="B34" s="21"/>
      <c r="C34" s="21"/>
      <c r="D34" s="21"/>
      <c r="E34" s="21"/>
      <c r="F34" s="21"/>
      <c r="G34" s="21"/>
      <c r="H34" s="21"/>
      <c r="I34" s="21"/>
      <c r="J34" s="21"/>
      <c r="K34" s="21"/>
      <c r="L34" s="21"/>
      <c r="M34" s="21"/>
      <c r="N34" s="21"/>
      <c r="O34" s="21"/>
      <c r="P34" s="21"/>
      <c r="Q34" s="21"/>
      <c r="R34" s="21"/>
      <c r="S34" s="21"/>
      <c r="T34" s="21"/>
      <c r="U34" s="21"/>
      <c r="V34" s="21"/>
      <c r="W34" s="24"/>
      <c r="X34" s="24"/>
    </row>
    <row r="35" spans="1:24" x14ac:dyDescent="0.25">
      <c r="A35" s="21"/>
      <c r="B35" s="21"/>
      <c r="C35" s="21"/>
      <c r="D35" s="21"/>
      <c r="E35" s="21"/>
      <c r="F35" s="21"/>
      <c r="G35" s="21"/>
      <c r="H35" s="21"/>
      <c r="I35" s="21"/>
      <c r="J35" s="21"/>
      <c r="K35" s="21"/>
      <c r="L35" s="21"/>
      <c r="M35" s="21"/>
      <c r="N35" s="21"/>
      <c r="O35" s="21"/>
      <c r="P35" s="21"/>
      <c r="Q35" s="21"/>
      <c r="R35" s="21"/>
      <c r="S35" s="21"/>
      <c r="T35" s="21"/>
      <c r="U35" s="21"/>
      <c r="V35" s="21"/>
      <c r="W35" s="24"/>
      <c r="X35" s="24"/>
    </row>
    <row r="36" spans="1:24" x14ac:dyDescent="0.25">
      <c r="A36" s="21"/>
      <c r="B36" s="21"/>
      <c r="C36" s="21"/>
      <c r="D36" s="21"/>
      <c r="E36" s="21"/>
      <c r="F36" s="21"/>
      <c r="G36" s="21"/>
      <c r="H36" s="21"/>
      <c r="I36" s="21"/>
      <c r="J36" s="21"/>
      <c r="K36" s="21"/>
      <c r="L36" s="21"/>
      <c r="M36" s="21"/>
      <c r="N36" s="21"/>
      <c r="O36" s="21"/>
      <c r="P36" s="21"/>
      <c r="Q36" s="21"/>
      <c r="R36" s="21"/>
      <c r="S36" s="21"/>
      <c r="T36" s="21"/>
      <c r="U36" s="21"/>
      <c r="V36" s="21"/>
      <c r="W36" s="24"/>
      <c r="X36" s="24"/>
    </row>
    <row r="37" spans="1:24" x14ac:dyDescent="0.25">
      <c r="A37" s="21"/>
      <c r="B37" s="21"/>
      <c r="C37" s="21"/>
      <c r="D37" s="21"/>
      <c r="E37" s="21"/>
      <c r="F37" s="21"/>
      <c r="G37" s="21"/>
      <c r="H37" s="21"/>
      <c r="I37" s="21"/>
      <c r="J37" s="21"/>
      <c r="K37" s="21"/>
      <c r="L37" s="21"/>
      <c r="M37" s="21"/>
      <c r="N37" s="21"/>
      <c r="O37" s="21"/>
      <c r="P37" s="21"/>
      <c r="Q37" s="21"/>
      <c r="R37" s="21"/>
      <c r="S37" s="21"/>
      <c r="T37" s="21"/>
      <c r="U37" s="21"/>
      <c r="V37" s="21"/>
      <c r="W37" s="24"/>
      <c r="X37" s="24"/>
    </row>
    <row r="38" spans="1:24" x14ac:dyDescent="0.25">
      <c r="A38" s="21"/>
      <c r="B38" s="21"/>
      <c r="C38" s="21"/>
      <c r="D38" s="21"/>
      <c r="E38" s="21"/>
      <c r="F38" s="21"/>
      <c r="G38" s="21"/>
      <c r="H38" s="21"/>
      <c r="I38" s="21"/>
      <c r="J38" s="21"/>
      <c r="K38" s="21"/>
      <c r="L38" s="21"/>
      <c r="M38" s="21"/>
      <c r="N38" s="21"/>
      <c r="O38" s="21"/>
      <c r="P38" s="21"/>
      <c r="Q38" s="21"/>
      <c r="R38" s="21"/>
      <c r="S38" s="21"/>
      <c r="T38" s="21"/>
      <c r="U38" s="21"/>
      <c r="V38" s="21"/>
      <c r="W38" s="24"/>
      <c r="X38" s="24"/>
    </row>
    <row r="39" spans="1:24" x14ac:dyDescent="0.25">
      <c r="A39" s="21"/>
      <c r="B39" s="21"/>
      <c r="C39" s="21"/>
      <c r="D39" s="21"/>
      <c r="E39" s="21"/>
      <c r="F39" s="21"/>
      <c r="G39" s="21"/>
      <c r="H39" s="21"/>
      <c r="I39" s="21"/>
      <c r="J39" s="21"/>
      <c r="K39" s="21"/>
      <c r="L39" s="21"/>
      <c r="M39" s="21"/>
      <c r="N39" s="21"/>
      <c r="O39" s="21"/>
      <c r="P39" s="21"/>
      <c r="Q39" s="21"/>
      <c r="R39" s="21"/>
      <c r="S39" s="21"/>
      <c r="T39" s="21"/>
      <c r="U39" s="21"/>
      <c r="V39" s="21"/>
      <c r="W39" s="24"/>
      <c r="X39" s="24"/>
    </row>
    <row r="40" spans="1:24" x14ac:dyDescent="0.25">
      <c r="A40" s="21"/>
      <c r="B40" s="21"/>
      <c r="C40" s="21"/>
      <c r="D40" s="21"/>
      <c r="E40" s="21"/>
      <c r="F40" s="21"/>
      <c r="G40" s="21"/>
      <c r="H40" s="21"/>
      <c r="I40" s="21"/>
      <c r="J40" s="21"/>
      <c r="K40" s="21"/>
      <c r="L40" s="21"/>
      <c r="M40" s="21"/>
      <c r="N40" s="21"/>
      <c r="O40" s="21"/>
      <c r="P40" s="21"/>
      <c r="Q40" s="21"/>
      <c r="R40" s="21"/>
      <c r="S40" s="21"/>
      <c r="T40" s="21"/>
      <c r="U40" s="21"/>
      <c r="V40" s="21"/>
      <c r="W40" s="24"/>
      <c r="X40" s="24"/>
    </row>
    <row r="41" spans="1:24" x14ac:dyDescent="0.25">
      <c r="A41" s="21"/>
      <c r="B41" s="21"/>
      <c r="C41" s="21"/>
      <c r="D41" s="21"/>
      <c r="E41" s="21"/>
      <c r="F41" s="21"/>
      <c r="G41" s="21"/>
      <c r="H41" s="21"/>
      <c r="I41" s="21"/>
      <c r="J41" s="21"/>
      <c r="K41" s="21"/>
      <c r="L41" s="21"/>
      <c r="M41" s="21"/>
      <c r="N41" s="21"/>
      <c r="O41" s="21"/>
      <c r="P41" s="21"/>
      <c r="Q41" s="21"/>
      <c r="R41" s="21"/>
      <c r="S41" s="21"/>
      <c r="T41" s="21"/>
      <c r="U41" s="21"/>
      <c r="V41" s="21"/>
      <c r="W41" s="24"/>
      <c r="X41" s="24"/>
    </row>
    <row r="42" spans="1:24" x14ac:dyDescent="0.25">
      <c r="A42" s="21"/>
      <c r="B42" s="21"/>
      <c r="C42" s="21"/>
      <c r="D42" s="21"/>
      <c r="E42" s="21"/>
      <c r="F42" s="21"/>
      <c r="G42" s="21"/>
      <c r="H42" s="21"/>
      <c r="I42" s="21"/>
      <c r="J42" s="21"/>
      <c r="K42" s="21"/>
      <c r="L42" s="21"/>
      <c r="M42" s="21"/>
      <c r="N42" s="21"/>
      <c r="O42" s="21"/>
      <c r="P42" s="21"/>
      <c r="Q42" s="21"/>
      <c r="R42" s="21"/>
      <c r="S42" s="21"/>
      <c r="T42" s="21"/>
      <c r="U42" s="21"/>
      <c r="V42" s="21"/>
      <c r="W42" s="24"/>
      <c r="X42" s="24"/>
    </row>
    <row r="43" spans="1:24" x14ac:dyDescent="0.25">
      <c r="A43" s="21"/>
      <c r="B43" s="21"/>
      <c r="C43" s="21"/>
      <c r="D43" s="21"/>
      <c r="E43" s="21"/>
      <c r="F43" s="21"/>
      <c r="G43" s="21"/>
      <c r="H43" s="21"/>
      <c r="I43" s="21"/>
      <c r="J43" s="21"/>
      <c r="K43" s="21"/>
      <c r="L43" s="21"/>
      <c r="M43" s="21"/>
      <c r="N43" s="21"/>
      <c r="O43" s="21"/>
      <c r="P43" s="21"/>
      <c r="Q43" s="21"/>
      <c r="R43" s="21"/>
      <c r="S43" s="21"/>
      <c r="T43" s="21"/>
      <c r="U43" s="21"/>
      <c r="V43" s="21"/>
      <c r="W43" s="24"/>
      <c r="X43" s="24"/>
    </row>
    <row r="44" spans="1:24" x14ac:dyDescent="0.25">
      <c r="A44" s="21"/>
      <c r="B44" s="21"/>
      <c r="C44" s="21"/>
      <c r="D44" s="21"/>
      <c r="E44" s="21"/>
      <c r="F44" s="21"/>
      <c r="G44" s="21"/>
      <c r="H44" s="21"/>
      <c r="I44" s="21"/>
      <c r="J44" s="21"/>
      <c r="K44" s="21"/>
      <c r="L44" s="21"/>
      <c r="M44" s="21"/>
      <c r="N44" s="21"/>
      <c r="O44" s="21"/>
      <c r="P44" s="21"/>
      <c r="Q44" s="21"/>
      <c r="R44" s="21"/>
      <c r="S44" s="21"/>
      <c r="T44" s="21"/>
      <c r="U44" s="21"/>
      <c r="V44" s="21"/>
      <c r="W44" s="24"/>
      <c r="X44" s="24"/>
    </row>
    <row r="45" spans="1:24" x14ac:dyDescent="0.25">
      <c r="A45" s="21"/>
      <c r="B45" s="21"/>
      <c r="C45" s="21"/>
      <c r="D45" s="21"/>
      <c r="E45" s="21"/>
      <c r="F45" s="21"/>
      <c r="G45" s="21"/>
      <c r="H45" s="21"/>
      <c r="I45" s="21"/>
      <c r="J45" s="21"/>
      <c r="K45" s="21"/>
      <c r="L45" s="21"/>
      <c r="M45" s="21"/>
      <c r="N45" s="21"/>
      <c r="O45" s="21"/>
      <c r="P45" s="21"/>
      <c r="Q45" s="21"/>
      <c r="R45" s="21"/>
      <c r="S45" s="21"/>
      <c r="T45" s="21"/>
      <c r="U45" s="21"/>
      <c r="V45" s="21"/>
      <c r="W45" s="24"/>
      <c r="X45" s="24"/>
    </row>
    <row r="46" spans="1:24" x14ac:dyDescent="0.25">
      <c r="A46" s="21"/>
      <c r="B46" s="21"/>
      <c r="C46" s="21"/>
      <c r="D46" s="21"/>
      <c r="E46" s="21"/>
      <c r="F46" s="21"/>
      <c r="G46" s="21"/>
      <c r="H46" s="21"/>
      <c r="I46" s="21"/>
      <c r="J46" s="21"/>
      <c r="K46" s="21"/>
      <c r="L46" s="21"/>
      <c r="M46" s="21"/>
      <c r="N46" s="21"/>
      <c r="O46" s="21"/>
      <c r="P46" s="21"/>
      <c r="Q46" s="21"/>
      <c r="R46" s="21"/>
      <c r="S46" s="21"/>
      <c r="T46" s="21"/>
      <c r="U46" s="21"/>
      <c r="V46" s="21"/>
      <c r="W46" s="24"/>
      <c r="X46" s="24"/>
    </row>
    <row r="47" spans="1:24" x14ac:dyDescent="0.25">
      <c r="A47" s="21"/>
      <c r="B47" s="21"/>
      <c r="C47" s="21"/>
      <c r="D47" s="21"/>
      <c r="E47" s="21"/>
      <c r="F47" s="21"/>
      <c r="G47" s="21"/>
      <c r="H47" s="21"/>
      <c r="I47" s="21"/>
      <c r="J47" s="21"/>
      <c r="K47" s="21"/>
      <c r="L47" s="21"/>
      <c r="M47" s="21"/>
      <c r="N47" s="21"/>
      <c r="O47" s="21"/>
      <c r="P47" s="21"/>
      <c r="Q47" s="21"/>
      <c r="R47" s="21"/>
      <c r="S47" s="21"/>
      <c r="T47" s="21"/>
      <c r="U47" s="21"/>
      <c r="V47" s="21"/>
      <c r="W47" s="24"/>
      <c r="X47" s="24"/>
    </row>
    <row r="48" spans="1:24" x14ac:dyDescent="0.25">
      <c r="A48" s="21"/>
      <c r="B48" s="21"/>
      <c r="C48" s="21"/>
      <c r="D48" s="21"/>
      <c r="E48" s="21"/>
      <c r="F48" s="21"/>
      <c r="G48" s="21"/>
      <c r="H48" s="21"/>
      <c r="I48" s="21"/>
      <c r="J48" s="21"/>
      <c r="K48" s="21"/>
      <c r="L48" s="21"/>
      <c r="M48" s="21"/>
      <c r="N48" s="21"/>
      <c r="O48" s="21"/>
      <c r="P48" s="21"/>
      <c r="Q48" s="21"/>
      <c r="R48" s="21"/>
      <c r="S48" s="21"/>
      <c r="T48" s="21"/>
      <c r="U48" s="21"/>
      <c r="V48" s="21"/>
      <c r="W48" s="24"/>
      <c r="X48" s="24"/>
    </row>
    <row r="49" spans="1:24" x14ac:dyDescent="0.25">
      <c r="A49" s="21"/>
      <c r="B49" s="21"/>
      <c r="C49" s="21"/>
      <c r="D49" s="21"/>
      <c r="E49" s="21"/>
      <c r="F49" s="21"/>
      <c r="G49" s="21"/>
      <c r="H49" s="21"/>
      <c r="I49" s="21"/>
      <c r="J49" s="21"/>
      <c r="K49" s="21"/>
      <c r="L49" s="21"/>
      <c r="M49" s="21"/>
      <c r="N49" s="21"/>
      <c r="O49" s="21"/>
      <c r="P49" s="21"/>
      <c r="Q49" s="21"/>
      <c r="R49" s="21"/>
      <c r="S49" s="21"/>
      <c r="T49" s="21"/>
      <c r="U49" s="21"/>
      <c r="V49" s="21"/>
      <c r="W49" s="24"/>
      <c r="X49" s="24"/>
    </row>
    <row r="50" spans="1:24" x14ac:dyDescent="0.25">
      <c r="A50" s="21"/>
      <c r="B50" s="21"/>
      <c r="C50" s="21"/>
      <c r="D50" s="21"/>
      <c r="E50" s="21"/>
      <c r="F50" s="21"/>
      <c r="G50" s="21"/>
      <c r="H50" s="21"/>
      <c r="I50" s="21"/>
      <c r="J50" s="21"/>
      <c r="K50" s="21"/>
      <c r="L50" s="21"/>
      <c r="M50" s="21"/>
      <c r="N50" s="21"/>
      <c r="O50" s="21"/>
      <c r="P50" s="21"/>
      <c r="Q50" s="21"/>
      <c r="R50" s="21"/>
      <c r="S50" s="21"/>
      <c r="T50" s="21"/>
      <c r="U50" s="21"/>
      <c r="V50" s="21"/>
      <c r="W50" s="24"/>
      <c r="X50" s="24"/>
    </row>
    <row r="51" spans="1:24" x14ac:dyDescent="0.25">
      <c r="A51" s="21"/>
      <c r="B51" s="21"/>
      <c r="C51" s="21"/>
      <c r="D51" s="21"/>
      <c r="E51" s="21"/>
      <c r="F51" s="21"/>
      <c r="G51" s="21"/>
      <c r="H51" s="21"/>
      <c r="I51" s="21"/>
      <c r="J51" s="21"/>
      <c r="K51" s="21"/>
      <c r="L51" s="21"/>
      <c r="M51" s="21"/>
      <c r="N51" s="21"/>
      <c r="O51" s="21"/>
      <c r="P51" s="21"/>
      <c r="Q51" s="21"/>
      <c r="R51" s="21"/>
      <c r="S51" s="21"/>
      <c r="T51" s="21"/>
      <c r="U51" s="21"/>
      <c r="V51" s="21"/>
      <c r="W51" s="24"/>
      <c r="X51" s="24"/>
    </row>
    <row r="52" spans="1:24" x14ac:dyDescent="0.25">
      <c r="A52" s="21"/>
      <c r="B52" s="21"/>
      <c r="C52" s="21"/>
      <c r="D52" s="21"/>
      <c r="E52" s="21"/>
      <c r="F52" s="21"/>
      <c r="G52" s="21"/>
      <c r="H52" s="21"/>
      <c r="I52" s="21"/>
      <c r="J52" s="21"/>
      <c r="K52" s="21"/>
      <c r="L52" s="21"/>
      <c r="M52" s="21"/>
      <c r="N52" s="21"/>
      <c r="O52" s="21"/>
      <c r="P52" s="21"/>
      <c r="Q52" s="21"/>
      <c r="R52" s="21"/>
      <c r="S52" s="21"/>
      <c r="T52" s="21"/>
      <c r="U52" s="21"/>
      <c r="V52" s="21"/>
      <c r="W52" s="24"/>
      <c r="X52" s="24"/>
    </row>
    <row r="53" spans="1:24" x14ac:dyDescent="0.25">
      <c r="A53" s="21"/>
      <c r="B53" s="21"/>
      <c r="C53" s="21"/>
      <c r="D53" s="21"/>
      <c r="E53" s="21"/>
      <c r="F53" s="21"/>
      <c r="G53" s="21"/>
      <c r="H53" s="21"/>
      <c r="I53" s="21"/>
      <c r="J53" s="21"/>
      <c r="K53" s="21"/>
      <c r="L53" s="21"/>
      <c r="M53" s="21"/>
      <c r="N53" s="21"/>
      <c r="O53" s="21"/>
      <c r="P53" s="21"/>
      <c r="Q53" s="21"/>
      <c r="R53" s="21"/>
      <c r="S53" s="21"/>
      <c r="T53" s="21"/>
      <c r="U53" s="21"/>
      <c r="V53" s="21"/>
      <c r="W53" s="24"/>
      <c r="X53" s="24"/>
    </row>
    <row r="54" spans="1:24" x14ac:dyDescent="0.25">
      <c r="A54" s="21"/>
      <c r="B54" s="21"/>
      <c r="C54" s="21"/>
      <c r="D54" s="21"/>
      <c r="E54" s="21"/>
      <c r="F54" s="21"/>
      <c r="G54" s="21"/>
      <c r="H54" s="21"/>
      <c r="I54" s="21"/>
      <c r="J54" s="21"/>
      <c r="K54" s="21"/>
      <c r="L54" s="21"/>
      <c r="M54" s="21"/>
      <c r="N54" s="21"/>
      <c r="O54" s="21"/>
      <c r="P54" s="21"/>
      <c r="Q54" s="21"/>
      <c r="R54" s="21"/>
      <c r="S54" s="21"/>
      <c r="T54" s="21"/>
      <c r="U54" s="21"/>
      <c r="V54" s="21"/>
      <c r="W54" s="24"/>
      <c r="X54" s="24"/>
    </row>
    <row r="55" spans="1:24" x14ac:dyDescent="0.25">
      <c r="A55" s="21"/>
      <c r="B55" s="21"/>
      <c r="C55" s="21"/>
      <c r="D55" s="21"/>
      <c r="E55" s="21"/>
      <c r="F55" s="21"/>
      <c r="G55" s="21"/>
      <c r="H55" s="21"/>
      <c r="I55" s="21"/>
      <c r="J55" s="21"/>
      <c r="K55" s="21"/>
      <c r="L55" s="21"/>
      <c r="M55" s="21"/>
      <c r="N55" s="21"/>
      <c r="O55" s="21"/>
      <c r="P55" s="21"/>
      <c r="Q55" s="21"/>
      <c r="R55" s="21"/>
      <c r="S55" s="21"/>
      <c r="T55" s="21"/>
      <c r="U55" s="21"/>
      <c r="V55" s="21"/>
      <c r="W55" s="24"/>
      <c r="X55" s="24"/>
    </row>
    <row r="56" spans="1:24" x14ac:dyDescent="0.25">
      <c r="A56" s="21"/>
      <c r="B56" s="21"/>
      <c r="C56" s="21"/>
      <c r="D56" s="21"/>
      <c r="E56" s="21"/>
      <c r="F56" s="21"/>
      <c r="G56" s="21"/>
      <c r="H56" s="21"/>
      <c r="I56" s="21"/>
      <c r="J56" s="21"/>
      <c r="K56" s="21"/>
      <c r="L56" s="21"/>
      <c r="M56" s="21"/>
      <c r="N56" s="21"/>
      <c r="O56" s="21"/>
      <c r="P56" s="21"/>
      <c r="Q56" s="21"/>
      <c r="R56" s="21"/>
      <c r="S56" s="21"/>
      <c r="T56" s="21"/>
      <c r="U56" s="21"/>
      <c r="V56" s="21"/>
      <c r="W56" s="24"/>
      <c r="X56" s="24"/>
    </row>
    <row r="57" spans="1:24" x14ac:dyDescent="0.25">
      <c r="A57" s="21"/>
      <c r="B57" s="21"/>
      <c r="C57" s="21"/>
      <c r="D57" s="21"/>
      <c r="E57" s="21"/>
      <c r="F57" s="21"/>
      <c r="G57" s="21"/>
      <c r="H57" s="21"/>
      <c r="I57" s="21"/>
      <c r="J57" s="21"/>
      <c r="K57" s="21"/>
      <c r="L57" s="21"/>
      <c r="M57" s="21"/>
      <c r="N57" s="21"/>
      <c r="O57" s="21"/>
      <c r="P57" s="21"/>
      <c r="Q57" s="21"/>
      <c r="R57" s="21"/>
      <c r="S57" s="21"/>
      <c r="T57" s="21"/>
      <c r="U57" s="21"/>
      <c r="V57" s="21"/>
      <c r="W57" s="24"/>
      <c r="X57" s="24"/>
    </row>
    <row r="58" spans="1:24" x14ac:dyDescent="0.25">
      <c r="A58" s="21"/>
      <c r="B58" s="21"/>
      <c r="C58" s="21"/>
      <c r="D58" s="21"/>
      <c r="E58" s="21"/>
      <c r="F58" s="21"/>
      <c r="G58" s="21"/>
      <c r="H58" s="21"/>
      <c r="I58" s="21"/>
      <c r="J58" s="21"/>
      <c r="K58" s="21"/>
      <c r="L58" s="21"/>
      <c r="M58" s="21"/>
      <c r="N58" s="21"/>
      <c r="O58" s="21"/>
      <c r="P58" s="21"/>
      <c r="Q58" s="21"/>
      <c r="R58" s="21"/>
      <c r="S58" s="21"/>
      <c r="T58" s="21"/>
      <c r="U58" s="21"/>
      <c r="V58" s="21"/>
      <c r="W58" s="24"/>
      <c r="X58" s="24"/>
    </row>
    <row r="59" spans="1:24" x14ac:dyDescent="0.25">
      <c r="A59" s="21"/>
      <c r="B59" s="21"/>
      <c r="C59" s="21"/>
      <c r="D59" s="21"/>
      <c r="E59" s="21"/>
      <c r="F59" s="21"/>
      <c r="G59" s="21"/>
      <c r="H59" s="21"/>
      <c r="I59" s="21"/>
      <c r="J59" s="21"/>
      <c r="K59" s="21"/>
      <c r="L59" s="21"/>
      <c r="M59" s="21"/>
      <c r="N59" s="21"/>
      <c r="O59" s="21"/>
      <c r="P59" s="21"/>
      <c r="Q59" s="21"/>
      <c r="R59" s="21"/>
      <c r="S59" s="21"/>
      <c r="T59" s="21"/>
      <c r="U59" s="21"/>
      <c r="V59" s="21"/>
      <c r="W59" s="24"/>
      <c r="X59" s="24"/>
    </row>
    <row r="60" spans="1:24" x14ac:dyDescent="0.25">
      <c r="A60" s="21"/>
      <c r="B60" s="21"/>
      <c r="C60" s="21"/>
      <c r="D60" s="21"/>
      <c r="E60" s="21"/>
      <c r="F60" s="21"/>
      <c r="G60" s="21"/>
      <c r="H60" s="21"/>
      <c r="I60" s="21"/>
      <c r="J60" s="21"/>
      <c r="K60" s="21"/>
      <c r="L60" s="21"/>
      <c r="M60" s="21"/>
      <c r="N60" s="21"/>
      <c r="O60" s="21"/>
      <c r="P60" s="21"/>
      <c r="Q60" s="21"/>
      <c r="R60" s="21"/>
      <c r="S60" s="21"/>
      <c r="T60" s="21"/>
      <c r="U60" s="21"/>
      <c r="V60" s="21"/>
      <c r="W60" s="24"/>
      <c r="X60" s="24"/>
    </row>
    <row r="61" spans="1:24" x14ac:dyDescent="0.25">
      <c r="A61" s="21"/>
      <c r="B61" s="21"/>
      <c r="C61" s="21"/>
      <c r="D61" s="21"/>
      <c r="E61" s="21"/>
      <c r="F61" s="21"/>
      <c r="G61" s="21"/>
      <c r="H61" s="21"/>
      <c r="I61" s="21"/>
      <c r="J61" s="21"/>
      <c r="K61" s="21"/>
      <c r="L61" s="21"/>
      <c r="M61" s="21"/>
      <c r="N61" s="21"/>
      <c r="O61" s="21"/>
      <c r="P61" s="21"/>
      <c r="Q61" s="21"/>
      <c r="R61" s="21"/>
      <c r="S61" s="21"/>
      <c r="T61" s="21"/>
      <c r="U61" s="21"/>
      <c r="V61" s="21"/>
      <c r="W61" s="24"/>
      <c r="X61" s="24"/>
    </row>
    <row r="62" spans="1:24" x14ac:dyDescent="0.25">
      <c r="A62" s="21"/>
      <c r="B62" s="21"/>
      <c r="C62" s="21"/>
      <c r="D62" s="21"/>
      <c r="E62" s="21"/>
      <c r="F62" s="21"/>
      <c r="G62" s="21"/>
      <c r="H62" s="21"/>
      <c r="I62" s="21"/>
      <c r="J62" s="21"/>
      <c r="K62" s="21"/>
      <c r="L62" s="21"/>
      <c r="M62" s="21"/>
      <c r="N62" s="21"/>
      <c r="O62" s="21"/>
      <c r="P62" s="21"/>
      <c r="Q62" s="21"/>
      <c r="R62" s="21"/>
      <c r="S62" s="21"/>
      <c r="T62" s="21"/>
      <c r="U62" s="21"/>
      <c r="V62" s="21"/>
      <c r="W62" s="24"/>
      <c r="X62" s="24"/>
    </row>
    <row r="63" spans="1:24" x14ac:dyDescent="0.25">
      <c r="A63" s="21"/>
      <c r="B63" s="21"/>
      <c r="C63" s="21"/>
      <c r="D63" s="21"/>
      <c r="E63" s="21"/>
      <c r="F63" s="21"/>
      <c r="G63" s="21"/>
      <c r="H63" s="21"/>
      <c r="I63" s="21"/>
      <c r="J63" s="21"/>
      <c r="K63" s="21"/>
      <c r="L63" s="21"/>
      <c r="M63" s="21"/>
      <c r="N63" s="21"/>
      <c r="O63" s="21"/>
      <c r="P63" s="21"/>
      <c r="Q63" s="21"/>
      <c r="R63" s="21"/>
      <c r="S63" s="21"/>
      <c r="T63" s="21"/>
      <c r="U63" s="21"/>
      <c r="V63" s="21"/>
      <c r="W63" s="24"/>
      <c r="X63" s="24"/>
    </row>
    <row r="64" spans="1:24" x14ac:dyDescent="0.25">
      <c r="A64" s="21"/>
      <c r="B64" s="21"/>
      <c r="C64" s="21"/>
      <c r="D64" s="21"/>
      <c r="E64" s="21"/>
      <c r="F64" s="21"/>
      <c r="G64" s="21"/>
      <c r="H64" s="21"/>
      <c r="I64" s="21"/>
      <c r="J64" s="21"/>
      <c r="K64" s="21"/>
      <c r="L64" s="21"/>
      <c r="M64" s="21"/>
      <c r="N64" s="21"/>
      <c r="O64" s="21"/>
      <c r="P64" s="21"/>
      <c r="Q64" s="21"/>
      <c r="R64" s="21"/>
      <c r="S64" s="21"/>
      <c r="T64" s="21"/>
      <c r="U64" s="21"/>
      <c r="V64" s="21"/>
      <c r="W64" s="24"/>
      <c r="X64" s="24"/>
    </row>
    <row r="65" spans="1:24" x14ac:dyDescent="0.25">
      <c r="A65" s="21"/>
      <c r="B65" s="21"/>
      <c r="C65" s="21"/>
      <c r="D65" s="21"/>
      <c r="E65" s="21"/>
      <c r="F65" s="21"/>
      <c r="G65" s="21"/>
      <c r="H65" s="21"/>
      <c r="I65" s="21"/>
      <c r="J65" s="21"/>
      <c r="K65" s="21"/>
      <c r="L65" s="21"/>
      <c r="M65" s="21"/>
      <c r="N65" s="21"/>
      <c r="O65" s="21"/>
      <c r="P65" s="21"/>
      <c r="Q65" s="21"/>
      <c r="R65" s="21"/>
      <c r="S65" s="21"/>
      <c r="T65" s="21"/>
      <c r="U65" s="21"/>
      <c r="V65" s="21"/>
      <c r="W65" s="24"/>
      <c r="X65" s="24"/>
    </row>
    <row r="66" spans="1:24" x14ac:dyDescent="0.25">
      <c r="A66" s="21"/>
      <c r="B66" s="21"/>
      <c r="C66" s="21"/>
      <c r="D66" s="21"/>
      <c r="E66" s="21"/>
      <c r="F66" s="21"/>
      <c r="G66" s="21"/>
      <c r="H66" s="21"/>
      <c r="I66" s="21"/>
      <c r="J66" s="21"/>
      <c r="K66" s="21"/>
      <c r="L66" s="21"/>
      <c r="M66" s="21"/>
      <c r="N66" s="21"/>
      <c r="O66" s="21"/>
      <c r="P66" s="21"/>
      <c r="Q66" s="21"/>
      <c r="R66" s="21"/>
      <c r="S66" s="21"/>
      <c r="T66" s="21"/>
      <c r="U66" s="21"/>
      <c r="V66" s="21"/>
      <c r="W66" s="24"/>
      <c r="X66" s="24"/>
    </row>
    <row r="67" spans="1:24" x14ac:dyDescent="0.25">
      <c r="A67" s="21"/>
      <c r="B67" s="21"/>
      <c r="C67" s="21"/>
      <c r="D67" s="21"/>
      <c r="E67" s="21"/>
      <c r="F67" s="21"/>
      <c r="G67" s="21"/>
      <c r="H67" s="21"/>
      <c r="I67" s="21"/>
      <c r="J67" s="21"/>
      <c r="K67" s="21"/>
      <c r="L67" s="21"/>
      <c r="M67" s="21"/>
      <c r="N67" s="21"/>
      <c r="O67" s="21"/>
      <c r="P67" s="21"/>
      <c r="Q67" s="21"/>
      <c r="R67" s="21"/>
      <c r="S67" s="21"/>
      <c r="T67" s="21"/>
      <c r="U67" s="21"/>
      <c r="V67" s="21"/>
      <c r="W67" s="24"/>
      <c r="X67" s="24"/>
    </row>
    <row r="68" spans="1:24" x14ac:dyDescent="0.25">
      <c r="A68" s="21"/>
      <c r="B68" s="21"/>
      <c r="C68" s="21"/>
      <c r="D68" s="21"/>
      <c r="E68" s="21"/>
      <c r="F68" s="21"/>
      <c r="G68" s="21"/>
      <c r="H68" s="21"/>
      <c r="I68" s="21"/>
      <c r="J68" s="21"/>
      <c r="K68" s="21"/>
      <c r="L68" s="21"/>
      <c r="M68" s="21"/>
      <c r="N68" s="21"/>
      <c r="O68" s="21"/>
      <c r="P68" s="21"/>
      <c r="Q68" s="21"/>
      <c r="R68" s="21"/>
      <c r="S68" s="21"/>
      <c r="T68" s="21"/>
      <c r="U68" s="21"/>
      <c r="V68" s="21"/>
      <c r="W68" s="24"/>
      <c r="X68" s="24"/>
    </row>
    <row r="69" spans="1:24" x14ac:dyDescent="0.25">
      <c r="A69" s="21"/>
      <c r="B69" s="21"/>
      <c r="C69" s="21"/>
      <c r="D69" s="21"/>
      <c r="E69" s="21"/>
      <c r="F69" s="21"/>
      <c r="G69" s="21"/>
      <c r="H69" s="21"/>
      <c r="I69" s="21"/>
      <c r="J69" s="21"/>
      <c r="K69" s="21"/>
      <c r="L69" s="21"/>
      <c r="M69" s="21"/>
      <c r="N69" s="21"/>
      <c r="O69" s="21"/>
      <c r="P69" s="21"/>
      <c r="Q69" s="21"/>
      <c r="R69" s="21"/>
      <c r="S69" s="21"/>
      <c r="T69" s="21"/>
      <c r="U69" s="21"/>
      <c r="V69" s="21"/>
      <c r="W69" s="24"/>
      <c r="X69" s="24"/>
    </row>
    <row r="70" spans="1:24" x14ac:dyDescent="0.25">
      <c r="A70" s="21"/>
      <c r="B70" s="21"/>
      <c r="C70" s="21"/>
      <c r="D70" s="21"/>
      <c r="E70" s="21"/>
      <c r="F70" s="21"/>
      <c r="G70" s="21"/>
      <c r="H70" s="21"/>
      <c r="I70" s="21"/>
      <c r="J70" s="21"/>
      <c r="K70" s="21"/>
      <c r="L70" s="21"/>
      <c r="M70" s="21"/>
      <c r="N70" s="21"/>
      <c r="O70" s="21"/>
      <c r="P70" s="21"/>
      <c r="Q70" s="21"/>
      <c r="R70" s="21"/>
      <c r="S70" s="21"/>
      <c r="T70" s="21"/>
      <c r="U70" s="21"/>
      <c r="V70" s="21"/>
      <c r="W70" s="24"/>
      <c r="X70" s="24"/>
    </row>
    <row r="71" spans="1:24" x14ac:dyDescent="0.25">
      <c r="A71" s="21"/>
      <c r="B71" s="21"/>
      <c r="C71" s="21"/>
      <c r="D71" s="21"/>
      <c r="E71" s="21"/>
      <c r="F71" s="21"/>
      <c r="G71" s="21"/>
      <c r="H71" s="21"/>
      <c r="I71" s="21"/>
      <c r="J71" s="21"/>
      <c r="K71" s="21"/>
      <c r="L71" s="21"/>
      <c r="M71" s="21"/>
      <c r="N71" s="21"/>
      <c r="O71" s="21"/>
      <c r="P71" s="21"/>
      <c r="Q71" s="21"/>
      <c r="R71" s="21"/>
      <c r="S71" s="21"/>
      <c r="T71" s="21"/>
      <c r="U71" s="21"/>
      <c r="V71" s="21"/>
      <c r="W71" s="24"/>
      <c r="X71" s="24"/>
    </row>
    <row r="72" spans="1:24" x14ac:dyDescent="0.25">
      <c r="A72" s="21"/>
      <c r="B72" s="21"/>
      <c r="C72" s="21"/>
      <c r="D72" s="21"/>
      <c r="E72" s="21"/>
      <c r="F72" s="21"/>
      <c r="G72" s="21"/>
      <c r="H72" s="21"/>
      <c r="I72" s="21"/>
      <c r="J72" s="21"/>
      <c r="K72" s="21"/>
      <c r="L72" s="21"/>
      <c r="M72" s="21"/>
      <c r="N72" s="21"/>
      <c r="O72" s="21"/>
      <c r="P72" s="21"/>
      <c r="Q72" s="21"/>
      <c r="R72" s="21"/>
      <c r="S72" s="21"/>
      <c r="T72" s="21"/>
      <c r="U72" s="21"/>
      <c r="V72" s="21"/>
      <c r="W72" s="24"/>
      <c r="X72" s="24"/>
    </row>
    <row r="73" spans="1:24" x14ac:dyDescent="0.25">
      <c r="A73" s="21"/>
      <c r="B73" s="21"/>
      <c r="C73" s="21"/>
      <c r="D73" s="21"/>
      <c r="E73" s="21"/>
      <c r="F73" s="21"/>
      <c r="G73" s="21"/>
      <c r="H73" s="21"/>
      <c r="I73" s="21"/>
      <c r="J73" s="21"/>
      <c r="K73" s="21"/>
      <c r="L73" s="21"/>
      <c r="M73" s="21"/>
      <c r="N73" s="21"/>
      <c r="O73" s="21"/>
      <c r="P73" s="21"/>
      <c r="Q73" s="21"/>
      <c r="R73" s="21"/>
      <c r="S73" s="21"/>
      <c r="T73" s="21"/>
      <c r="U73" s="21"/>
      <c r="V73" s="21"/>
      <c r="W73" s="24"/>
      <c r="X73" s="24"/>
    </row>
    <row r="74" spans="1:24" x14ac:dyDescent="0.25">
      <c r="A74" s="21"/>
      <c r="B74" s="21"/>
      <c r="C74" s="21"/>
      <c r="D74" s="21"/>
      <c r="E74" s="21"/>
      <c r="F74" s="21"/>
      <c r="G74" s="21"/>
      <c r="H74" s="21"/>
      <c r="I74" s="21"/>
      <c r="J74" s="21"/>
      <c r="K74" s="21"/>
      <c r="L74" s="21"/>
      <c r="M74" s="21"/>
      <c r="N74" s="21"/>
      <c r="O74" s="21"/>
      <c r="P74" s="21"/>
      <c r="Q74" s="21"/>
      <c r="R74" s="21"/>
      <c r="S74" s="21"/>
      <c r="T74" s="21"/>
      <c r="U74" s="21"/>
      <c r="V74" s="21"/>
      <c r="W74" s="24"/>
      <c r="X74" s="24"/>
    </row>
    <row r="75" spans="1:24" x14ac:dyDescent="0.25">
      <c r="A75" s="21"/>
      <c r="B75" s="21"/>
      <c r="C75" s="21"/>
      <c r="D75" s="21"/>
      <c r="E75" s="21"/>
      <c r="F75" s="21"/>
      <c r="G75" s="21"/>
      <c r="H75" s="21"/>
      <c r="I75" s="21"/>
      <c r="J75" s="21"/>
      <c r="K75" s="21"/>
      <c r="L75" s="21"/>
      <c r="M75" s="21"/>
      <c r="N75" s="21"/>
      <c r="O75" s="21"/>
      <c r="P75" s="21"/>
      <c r="Q75" s="21"/>
      <c r="R75" s="21"/>
      <c r="S75" s="21"/>
      <c r="T75" s="21"/>
      <c r="U75" s="21"/>
      <c r="V75" s="21"/>
      <c r="W75" s="24"/>
      <c r="X75" s="24"/>
    </row>
    <row r="76" spans="1:24" x14ac:dyDescent="0.25">
      <c r="A76" s="21"/>
      <c r="B76" s="21"/>
      <c r="C76" s="21"/>
      <c r="D76" s="21"/>
      <c r="E76" s="21"/>
      <c r="F76" s="21"/>
      <c r="G76" s="21"/>
      <c r="H76" s="21"/>
      <c r="I76" s="21"/>
      <c r="J76" s="21"/>
      <c r="K76" s="21"/>
      <c r="L76" s="21"/>
      <c r="M76" s="21"/>
      <c r="N76" s="21"/>
      <c r="O76" s="21"/>
      <c r="P76" s="21"/>
      <c r="Q76" s="21"/>
      <c r="R76" s="21"/>
      <c r="S76" s="21"/>
      <c r="T76" s="21"/>
      <c r="U76" s="21"/>
      <c r="V76" s="21"/>
      <c r="W76" s="24"/>
      <c r="X76" s="24"/>
    </row>
    <row r="77" spans="1:24" x14ac:dyDescent="0.25">
      <c r="A77" s="21"/>
      <c r="B77" s="21"/>
      <c r="C77" s="21"/>
      <c r="D77" s="21"/>
      <c r="E77" s="21"/>
      <c r="F77" s="21"/>
      <c r="G77" s="21"/>
      <c r="H77" s="21"/>
      <c r="I77" s="21"/>
      <c r="J77" s="21"/>
      <c r="K77" s="21"/>
      <c r="L77" s="21"/>
      <c r="M77" s="21"/>
      <c r="N77" s="21"/>
      <c r="O77" s="21"/>
      <c r="P77" s="21"/>
      <c r="Q77" s="21"/>
      <c r="R77" s="21"/>
      <c r="S77" s="21"/>
      <c r="T77" s="21"/>
      <c r="U77" s="21"/>
      <c r="V77" s="21"/>
      <c r="W77" s="24"/>
      <c r="X77" s="2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4B641-85A2-41D5-8251-12E6997024AE}">
  <dimension ref="B3:M79"/>
  <sheetViews>
    <sheetView zoomScale="94" workbookViewId="0">
      <selection activeCell="N8" sqref="N8"/>
    </sheetView>
  </sheetViews>
  <sheetFormatPr defaultColWidth="8.85546875" defaultRowHeight="15" x14ac:dyDescent="0.25"/>
  <cols>
    <col min="1" max="1" width="4.42578125" style="2" customWidth="1"/>
    <col min="2" max="2" width="11.5703125" style="2" customWidth="1"/>
    <col min="3" max="3" width="13.7109375" style="2" customWidth="1"/>
    <col min="4" max="4" width="19.42578125" style="2" customWidth="1"/>
    <col min="5" max="5" width="13.5703125" style="2" customWidth="1"/>
    <col min="6" max="6" width="19.5703125" style="2" customWidth="1"/>
    <col min="7" max="7" width="17.28515625" style="2" customWidth="1"/>
    <col min="8" max="8" width="11.85546875" style="2" customWidth="1"/>
    <col min="9" max="9" width="13.42578125" style="2" customWidth="1"/>
    <col min="10" max="10" width="14.7109375" style="2" customWidth="1"/>
    <col min="11" max="13" width="8.85546875" style="2"/>
    <col min="14" max="14" width="13.28515625" style="2" customWidth="1"/>
    <col min="15" max="15" width="14.28515625" style="2" customWidth="1"/>
    <col min="16" max="16" width="19.5703125" style="2" customWidth="1"/>
    <col min="17" max="17" width="19" style="2" customWidth="1"/>
    <col min="18" max="18" width="21.28515625" style="2" customWidth="1"/>
    <col min="19" max="19" width="16.85546875" style="2" customWidth="1"/>
    <col min="20" max="16384" width="8.85546875" style="2"/>
  </cols>
  <sheetData>
    <row r="3" spans="2:13" ht="19.5" thickBot="1" x14ac:dyDescent="0.3">
      <c r="B3" s="3" t="s">
        <v>0</v>
      </c>
      <c r="C3" s="1"/>
      <c r="D3" s="1"/>
      <c r="E3" s="1"/>
      <c r="F3" s="1"/>
      <c r="G3" s="1"/>
      <c r="H3" s="1"/>
      <c r="I3" s="1"/>
    </row>
    <row r="5" spans="2:13" ht="15.75" x14ac:dyDescent="0.25">
      <c r="H5" s="4" t="s">
        <v>1</v>
      </c>
      <c r="I5" s="5">
        <v>0.1</v>
      </c>
    </row>
    <row r="7" spans="2:13" ht="15.75" x14ac:dyDescent="0.25">
      <c r="B7" s="10" t="s">
        <v>2</v>
      </c>
      <c r="C7" s="4" t="s">
        <v>3</v>
      </c>
      <c r="D7" s="4" t="s">
        <v>4</v>
      </c>
      <c r="E7" s="4" t="s">
        <v>5</v>
      </c>
      <c r="F7" s="4" t="s">
        <v>6</v>
      </c>
      <c r="G7" s="4" t="s">
        <v>7</v>
      </c>
      <c r="H7" s="4" t="s">
        <v>8</v>
      </c>
      <c r="I7" s="11" t="s">
        <v>9</v>
      </c>
      <c r="J7" s="6" t="s">
        <v>61</v>
      </c>
      <c r="K7" s="6" t="s">
        <v>62</v>
      </c>
      <c r="L7" s="6" t="s">
        <v>63</v>
      </c>
      <c r="M7" s="6" t="s">
        <v>64</v>
      </c>
    </row>
    <row r="8" spans="2:13" x14ac:dyDescent="0.25">
      <c r="B8" s="27">
        <v>1001</v>
      </c>
      <c r="C8" s="8">
        <v>45292</v>
      </c>
      <c r="D8" s="7" t="s">
        <v>10</v>
      </c>
      <c r="E8" s="8">
        <v>45294</v>
      </c>
      <c r="F8" s="7">
        <v>49.99</v>
      </c>
      <c r="G8" s="7">
        <v>2</v>
      </c>
      <c r="H8" s="7">
        <f>F8*G8*$I$5</f>
        <v>9.9980000000000011</v>
      </c>
      <c r="I8" s="12">
        <f>F8*G8+H8</f>
        <v>109.97800000000001</v>
      </c>
      <c r="J8" s="16">
        <f>F8*Table1[[#This Row],[Order Quantity]]</f>
        <v>99.98</v>
      </c>
      <c r="K8" s="16" t="str">
        <f>TEXT(Table1[[#This Row],[Order Date]],"mmm")</f>
        <v>Jan</v>
      </c>
      <c r="L8" s="17">
        <f>YEAR(Table1[[#This Row],[Order Date]])</f>
        <v>2024</v>
      </c>
      <c r="M8" s="17" t="str">
        <f>TEXT(Table1[[#This Row],[Order Date]],"dddd")</f>
        <v>Monday</v>
      </c>
    </row>
    <row r="9" spans="2:13" x14ac:dyDescent="0.25">
      <c r="B9" s="27">
        <v>1002</v>
      </c>
      <c r="C9" s="8">
        <v>45292</v>
      </c>
      <c r="D9" s="7" t="s">
        <v>11</v>
      </c>
      <c r="E9" s="8">
        <v>45295</v>
      </c>
      <c r="F9" s="7">
        <v>29.99</v>
      </c>
      <c r="G9" s="7">
        <v>1</v>
      </c>
      <c r="H9" s="7">
        <f t="shared" ref="H9:H72" si="0">F9*G9*$I$5</f>
        <v>2.9990000000000001</v>
      </c>
      <c r="I9" s="12">
        <f t="shared" ref="I9:I72" si="1">F9*G9+H9</f>
        <v>32.988999999999997</v>
      </c>
      <c r="J9" s="7">
        <f>F9*Table1[[#This Row],[Order Quantity]]</f>
        <v>29.99</v>
      </c>
      <c r="K9" s="7" t="str">
        <f>TEXT(Table1[[#This Row],[Order Date]],"mmm")</f>
        <v>Jan</v>
      </c>
      <c r="L9" s="17">
        <f>YEAR(Table1[[#This Row],[Order Date]])</f>
        <v>2024</v>
      </c>
      <c r="M9" s="17" t="str">
        <f>TEXT(Table1[[#This Row],[Order Date]],"dddd")</f>
        <v>Monday</v>
      </c>
    </row>
    <row r="10" spans="2:13" x14ac:dyDescent="0.25">
      <c r="B10" s="27">
        <v>1003</v>
      </c>
      <c r="C10" s="8">
        <v>45293</v>
      </c>
      <c r="D10" s="7" t="s">
        <v>12</v>
      </c>
      <c r="E10" s="8">
        <v>45298</v>
      </c>
      <c r="F10" s="7">
        <v>99.99</v>
      </c>
      <c r="G10" s="7">
        <v>3</v>
      </c>
      <c r="H10" s="7">
        <f t="shared" si="0"/>
        <v>29.997</v>
      </c>
      <c r="I10" s="12">
        <f t="shared" si="1"/>
        <v>329.96699999999998</v>
      </c>
      <c r="J10" s="7">
        <f>F10*Table1[[#This Row],[Order Quantity]]</f>
        <v>299.96999999999997</v>
      </c>
      <c r="K10" s="7" t="str">
        <f>TEXT(Table1[[#This Row],[Order Date]],"mmm")</f>
        <v>Jan</v>
      </c>
      <c r="L10" s="17">
        <f>YEAR(Table1[[#This Row],[Order Date]])</f>
        <v>2024</v>
      </c>
      <c r="M10" s="17" t="str">
        <f>TEXT(Table1[[#This Row],[Order Date]],"dddd")</f>
        <v>Tuesday</v>
      </c>
    </row>
    <row r="11" spans="2:13" x14ac:dyDescent="0.25">
      <c r="B11" s="27">
        <v>1004</v>
      </c>
      <c r="C11" s="8">
        <v>45293</v>
      </c>
      <c r="D11" s="7" t="s">
        <v>13</v>
      </c>
      <c r="E11" s="8">
        <v>45294</v>
      </c>
      <c r="F11" s="7">
        <v>19.989999999999998</v>
      </c>
      <c r="G11" s="7">
        <v>4</v>
      </c>
      <c r="H11" s="7">
        <f t="shared" si="0"/>
        <v>7.9959999999999996</v>
      </c>
      <c r="I11" s="12">
        <f t="shared" si="1"/>
        <v>87.955999999999989</v>
      </c>
      <c r="J11" s="7">
        <f>F11*Table1[[#This Row],[Order Quantity]]</f>
        <v>79.959999999999994</v>
      </c>
      <c r="K11" s="7" t="str">
        <f>TEXT(Table1[[#This Row],[Order Date]],"mmm")</f>
        <v>Jan</v>
      </c>
      <c r="L11" s="17">
        <f>YEAR(Table1[[#This Row],[Order Date]])</f>
        <v>2024</v>
      </c>
      <c r="M11" s="17" t="str">
        <f>TEXT(Table1[[#This Row],[Order Date]],"dddd")</f>
        <v>Tuesday</v>
      </c>
    </row>
    <row r="12" spans="2:13" x14ac:dyDescent="0.25">
      <c r="B12" s="27">
        <v>1005</v>
      </c>
      <c r="C12" s="8">
        <v>45294</v>
      </c>
      <c r="D12" s="7" t="s">
        <v>14</v>
      </c>
      <c r="E12" s="8">
        <v>45299</v>
      </c>
      <c r="F12" s="7">
        <v>149.99</v>
      </c>
      <c r="G12" s="7">
        <v>1</v>
      </c>
      <c r="H12" s="7">
        <f t="shared" si="0"/>
        <v>14.999000000000002</v>
      </c>
      <c r="I12" s="12">
        <f t="shared" si="1"/>
        <v>164.989</v>
      </c>
      <c r="J12" s="7">
        <f>F12*Table1[[#This Row],[Order Quantity]]</f>
        <v>149.99</v>
      </c>
      <c r="K12" s="7" t="str">
        <f>TEXT(Table1[[#This Row],[Order Date]],"mmm")</f>
        <v>Jan</v>
      </c>
      <c r="L12" s="17">
        <f>YEAR(Table1[[#This Row],[Order Date]])</f>
        <v>2024</v>
      </c>
      <c r="M12" s="17" t="str">
        <f>TEXT(Table1[[#This Row],[Order Date]],"dddd")</f>
        <v>Wednesday</v>
      </c>
    </row>
    <row r="13" spans="2:13" x14ac:dyDescent="0.25">
      <c r="B13" s="27">
        <v>1006</v>
      </c>
      <c r="C13" s="8">
        <v>45294</v>
      </c>
      <c r="D13" s="7" t="s">
        <v>15</v>
      </c>
      <c r="E13" s="8">
        <v>45297</v>
      </c>
      <c r="F13" s="7">
        <v>79.989999999999995</v>
      </c>
      <c r="G13" s="7">
        <v>2</v>
      </c>
      <c r="H13" s="7">
        <f t="shared" si="0"/>
        <v>15.997999999999999</v>
      </c>
      <c r="I13" s="12">
        <f t="shared" si="1"/>
        <v>175.97799999999998</v>
      </c>
      <c r="J13" s="7">
        <f>F13*Table1[[#This Row],[Order Quantity]]</f>
        <v>159.97999999999999</v>
      </c>
      <c r="K13" s="7" t="str">
        <f>TEXT(Table1[[#This Row],[Order Date]],"mmm")</f>
        <v>Jan</v>
      </c>
      <c r="L13" s="17">
        <f>YEAR(Table1[[#This Row],[Order Date]])</f>
        <v>2024</v>
      </c>
      <c r="M13" s="17" t="str">
        <f>TEXT(Table1[[#This Row],[Order Date]],"dddd")</f>
        <v>Wednesday</v>
      </c>
    </row>
    <row r="14" spans="2:13" x14ac:dyDescent="0.25">
      <c r="B14" s="27">
        <v>1007</v>
      </c>
      <c r="C14" s="8">
        <v>45295</v>
      </c>
      <c r="D14" s="7" t="s">
        <v>16</v>
      </c>
      <c r="E14" s="8">
        <v>45297</v>
      </c>
      <c r="F14" s="7">
        <v>39.99</v>
      </c>
      <c r="G14" s="7">
        <v>3</v>
      </c>
      <c r="H14" s="7">
        <f t="shared" si="0"/>
        <v>11.997</v>
      </c>
      <c r="I14" s="12">
        <f t="shared" si="1"/>
        <v>131.96699999999998</v>
      </c>
      <c r="J14" s="7">
        <f>F14*Table1[[#This Row],[Order Quantity]]</f>
        <v>119.97</v>
      </c>
      <c r="K14" s="7" t="str">
        <f>TEXT(Table1[[#This Row],[Order Date]],"mmm")</f>
        <v>Jan</v>
      </c>
      <c r="L14" s="17">
        <f>YEAR(Table1[[#This Row],[Order Date]])</f>
        <v>2024</v>
      </c>
      <c r="M14" s="17" t="str">
        <f>TEXT(Table1[[#This Row],[Order Date]],"dddd")</f>
        <v>Thursday</v>
      </c>
    </row>
    <row r="15" spans="2:13" x14ac:dyDescent="0.25">
      <c r="B15" s="27">
        <v>1008</v>
      </c>
      <c r="C15" s="8">
        <v>45295</v>
      </c>
      <c r="D15" s="7" t="s">
        <v>17</v>
      </c>
      <c r="E15" s="8">
        <v>45300</v>
      </c>
      <c r="F15" s="7">
        <v>69.989999999999995</v>
      </c>
      <c r="G15" s="7">
        <v>2</v>
      </c>
      <c r="H15" s="7">
        <f t="shared" si="0"/>
        <v>13.997999999999999</v>
      </c>
      <c r="I15" s="12">
        <f t="shared" si="1"/>
        <v>153.97799999999998</v>
      </c>
      <c r="J15" s="7">
        <f>F15*Table1[[#This Row],[Order Quantity]]</f>
        <v>139.97999999999999</v>
      </c>
      <c r="K15" s="7" t="str">
        <f>TEXT(Table1[[#This Row],[Order Date]],"mmm")</f>
        <v>Jan</v>
      </c>
      <c r="L15" s="17">
        <f>YEAR(Table1[[#This Row],[Order Date]])</f>
        <v>2024</v>
      </c>
      <c r="M15" s="17" t="str">
        <f>TEXT(Table1[[#This Row],[Order Date]],"dddd")</f>
        <v>Thursday</v>
      </c>
    </row>
    <row r="16" spans="2:13" x14ac:dyDescent="0.25">
      <c r="B16" s="27">
        <v>1009</v>
      </c>
      <c r="C16" s="8">
        <v>45296</v>
      </c>
      <c r="D16" s="7" t="s">
        <v>18</v>
      </c>
      <c r="E16" s="8">
        <v>45297</v>
      </c>
      <c r="F16" s="7">
        <v>89.99</v>
      </c>
      <c r="G16" s="7">
        <v>1</v>
      </c>
      <c r="H16" s="7">
        <f t="shared" si="0"/>
        <v>8.9990000000000006</v>
      </c>
      <c r="I16" s="12">
        <f t="shared" si="1"/>
        <v>98.98899999999999</v>
      </c>
      <c r="J16" s="7">
        <f>F16*Table1[[#This Row],[Order Quantity]]</f>
        <v>89.99</v>
      </c>
      <c r="K16" s="7" t="str">
        <f>TEXT(Table1[[#This Row],[Order Date]],"mmm")</f>
        <v>Jan</v>
      </c>
      <c r="L16" s="17">
        <f>YEAR(Table1[[#This Row],[Order Date]])</f>
        <v>2024</v>
      </c>
      <c r="M16" s="17" t="str">
        <f>TEXT(Table1[[#This Row],[Order Date]],"dddd")</f>
        <v>Friday</v>
      </c>
    </row>
    <row r="17" spans="2:13" x14ac:dyDescent="0.25">
      <c r="B17" s="27">
        <v>1010</v>
      </c>
      <c r="C17" s="8">
        <v>45296</v>
      </c>
      <c r="D17" s="7" t="s">
        <v>19</v>
      </c>
      <c r="E17" s="8">
        <v>45299</v>
      </c>
      <c r="F17" s="7">
        <v>199.99</v>
      </c>
      <c r="G17" s="7">
        <v>1</v>
      </c>
      <c r="H17" s="7">
        <f t="shared" si="0"/>
        <v>19.999000000000002</v>
      </c>
      <c r="I17" s="12">
        <f t="shared" si="1"/>
        <v>219.989</v>
      </c>
      <c r="J17" s="7">
        <f>F17*Table1[[#This Row],[Order Quantity]]</f>
        <v>199.99</v>
      </c>
      <c r="K17" s="7" t="str">
        <f>TEXT(Table1[[#This Row],[Order Date]],"mmm")</f>
        <v>Jan</v>
      </c>
      <c r="L17" s="17">
        <f>YEAR(Table1[[#This Row],[Order Date]])</f>
        <v>2024</v>
      </c>
      <c r="M17" s="17" t="str">
        <f>TEXT(Table1[[#This Row],[Order Date]],"dddd")</f>
        <v>Friday</v>
      </c>
    </row>
    <row r="18" spans="2:13" x14ac:dyDescent="0.25">
      <c r="B18" s="27">
        <v>1011</v>
      </c>
      <c r="C18" s="8">
        <v>45297</v>
      </c>
      <c r="D18" s="7" t="s">
        <v>20</v>
      </c>
      <c r="E18" s="8">
        <v>45298</v>
      </c>
      <c r="F18" s="7">
        <v>29.99</v>
      </c>
      <c r="G18" s="7">
        <v>5</v>
      </c>
      <c r="H18" s="7">
        <f t="shared" si="0"/>
        <v>14.994999999999999</v>
      </c>
      <c r="I18" s="12">
        <f t="shared" si="1"/>
        <v>164.94499999999999</v>
      </c>
      <c r="J18" s="7">
        <f>F18*Table1[[#This Row],[Order Quantity]]</f>
        <v>149.94999999999999</v>
      </c>
      <c r="K18" s="7" t="str">
        <f>TEXT(Table1[[#This Row],[Order Date]],"mmm")</f>
        <v>Jan</v>
      </c>
      <c r="L18" s="17">
        <f>YEAR(Table1[[#This Row],[Order Date]])</f>
        <v>2024</v>
      </c>
      <c r="M18" s="17" t="str">
        <f>TEXT(Table1[[#This Row],[Order Date]],"dddd")</f>
        <v>Saturday</v>
      </c>
    </row>
    <row r="19" spans="2:13" x14ac:dyDescent="0.25">
      <c r="B19" s="27">
        <v>1012</v>
      </c>
      <c r="C19" s="8">
        <v>45297</v>
      </c>
      <c r="D19" s="7" t="s">
        <v>21</v>
      </c>
      <c r="E19" s="8">
        <v>45299</v>
      </c>
      <c r="F19" s="7">
        <v>79.989999999999995</v>
      </c>
      <c r="G19" s="7">
        <v>2</v>
      </c>
      <c r="H19" s="7">
        <f t="shared" si="0"/>
        <v>15.997999999999999</v>
      </c>
      <c r="I19" s="12">
        <f t="shared" si="1"/>
        <v>175.97799999999998</v>
      </c>
      <c r="J19" s="7">
        <f>F19*Table1[[#This Row],[Order Quantity]]</f>
        <v>159.97999999999999</v>
      </c>
      <c r="K19" s="7" t="str">
        <f>TEXT(Table1[[#This Row],[Order Date]],"mmm")</f>
        <v>Jan</v>
      </c>
      <c r="L19" s="17">
        <f>YEAR(Table1[[#This Row],[Order Date]])</f>
        <v>2024</v>
      </c>
      <c r="M19" s="17" t="str">
        <f>TEXT(Table1[[#This Row],[Order Date]],"dddd")</f>
        <v>Saturday</v>
      </c>
    </row>
    <row r="20" spans="2:13" x14ac:dyDescent="0.25">
      <c r="B20" s="27">
        <v>1013</v>
      </c>
      <c r="C20" s="8">
        <v>45298</v>
      </c>
      <c r="D20" s="7" t="s">
        <v>22</v>
      </c>
      <c r="E20" s="8">
        <v>45300</v>
      </c>
      <c r="F20" s="7">
        <v>49.99</v>
      </c>
      <c r="G20" s="7">
        <v>3</v>
      </c>
      <c r="H20" s="7">
        <f t="shared" si="0"/>
        <v>14.997</v>
      </c>
      <c r="I20" s="12">
        <f t="shared" si="1"/>
        <v>164.96699999999998</v>
      </c>
      <c r="J20" s="7">
        <f>F20*Table1[[#This Row],[Order Quantity]]</f>
        <v>149.97</v>
      </c>
      <c r="K20" s="7" t="str">
        <f>TEXT(Table1[[#This Row],[Order Date]],"mmm")</f>
        <v>Jan</v>
      </c>
      <c r="L20" s="17">
        <f>YEAR(Table1[[#This Row],[Order Date]])</f>
        <v>2024</v>
      </c>
      <c r="M20" s="17" t="str">
        <f>TEXT(Table1[[#This Row],[Order Date]],"dddd")</f>
        <v>Sunday</v>
      </c>
    </row>
    <row r="21" spans="2:13" x14ac:dyDescent="0.25">
      <c r="B21" s="27">
        <v>1014</v>
      </c>
      <c r="C21" s="8">
        <v>45298</v>
      </c>
      <c r="D21" s="7" t="s">
        <v>23</v>
      </c>
      <c r="E21" s="8">
        <v>45303</v>
      </c>
      <c r="F21" s="7">
        <v>129.99</v>
      </c>
      <c r="G21" s="7">
        <v>1</v>
      </c>
      <c r="H21" s="7">
        <f t="shared" si="0"/>
        <v>12.999000000000002</v>
      </c>
      <c r="I21" s="12">
        <f t="shared" si="1"/>
        <v>142.989</v>
      </c>
      <c r="J21" s="7">
        <f>F21*Table1[[#This Row],[Order Quantity]]</f>
        <v>129.99</v>
      </c>
      <c r="K21" s="7" t="str">
        <f>TEXT(Table1[[#This Row],[Order Date]],"mmm")</f>
        <v>Jan</v>
      </c>
      <c r="L21" s="17">
        <f>YEAR(Table1[[#This Row],[Order Date]])</f>
        <v>2024</v>
      </c>
      <c r="M21" s="17" t="str">
        <f>TEXT(Table1[[#This Row],[Order Date]],"dddd")</f>
        <v>Sunday</v>
      </c>
    </row>
    <row r="22" spans="2:13" x14ac:dyDescent="0.25">
      <c r="B22" s="27">
        <v>1015</v>
      </c>
      <c r="C22" s="8">
        <v>45299</v>
      </c>
      <c r="D22" s="7" t="s">
        <v>24</v>
      </c>
      <c r="E22" s="8">
        <v>45304</v>
      </c>
      <c r="F22" s="7">
        <v>19.989999999999998</v>
      </c>
      <c r="G22" s="7">
        <v>4</v>
      </c>
      <c r="H22" s="7">
        <f t="shared" si="0"/>
        <v>7.9959999999999996</v>
      </c>
      <c r="I22" s="12">
        <f t="shared" si="1"/>
        <v>87.955999999999989</v>
      </c>
      <c r="J22" s="7">
        <f>F22*Table1[[#This Row],[Order Quantity]]</f>
        <v>79.959999999999994</v>
      </c>
      <c r="K22" s="7" t="str">
        <f>TEXT(Table1[[#This Row],[Order Date]],"mmm")</f>
        <v>Jan</v>
      </c>
      <c r="L22" s="17">
        <f>YEAR(Table1[[#This Row],[Order Date]])</f>
        <v>2024</v>
      </c>
      <c r="M22" s="17" t="str">
        <f>TEXT(Table1[[#This Row],[Order Date]],"dddd")</f>
        <v>Monday</v>
      </c>
    </row>
    <row r="23" spans="2:13" x14ac:dyDescent="0.25">
      <c r="B23" s="27">
        <v>1016</v>
      </c>
      <c r="C23" s="8">
        <v>45299</v>
      </c>
      <c r="D23" s="7" t="s">
        <v>25</v>
      </c>
      <c r="E23" s="8">
        <v>45303</v>
      </c>
      <c r="F23" s="7">
        <v>149.99</v>
      </c>
      <c r="G23" s="7">
        <v>1</v>
      </c>
      <c r="H23" s="7">
        <f t="shared" si="0"/>
        <v>14.999000000000002</v>
      </c>
      <c r="I23" s="12">
        <f t="shared" si="1"/>
        <v>164.989</v>
      </c>
      <c r="J23" s="7">
        <f>F23*Table1[[#This Row],[Order Quantity]]</f>
        <v>149.99</v>
      </c>
      <c r="K23" s="7" t="str">
        <f>TEXT(Table1[[#This Row],[Order Date]],"mmm")</f>
        <v>Jan</v>
      </c>
      <c r="L23" s="17">
        <f>YEAR(Table1[[#This Row],[Order Date]])</f>
        <v>2024</v>
      </c>
      <c r="M23" s="17" t="str">
        <f>TEXT(Table1[[#This Row],[Order Date]],"dddd")</f>
        <v>Monday</v>
      </c>
    </row>
    <row r="24" spans="2:13" x14ac:dyDescent="0.25">
      <c r="B24" s="27">
        <v>1017</v>
      </c>
      <c r="C24" s="8">
        <v>45300</v>
      </c>
      <c r="D24" s="7" t="s">
        <v>26</v>
      </c>
      <c r="E24" s="8">
        <v>45305</v>
      </c>
      <c r="F24" s="7">
        <v>69.989999999999995</v>
      </c>
      <c r="G24" s="7">
        <v>2</v>
      </c>
      <c r="H24" s="7">
        <f t="shared" si="0"/>
        <v>13.997999999999999</v>
      </c>
      <c r="I24" s="12">
        <f t="shared" si="1"/>
        <v>153.97799999999998</v>
      </c>
      <c r="J24" s="7">
        <f>F24*Table1[[#This Row],[Order Quantity]]</f>
        <v>139.97999999999999</v>
      </c>
      <c r="K24" s="7" t="str">
        <f>TEXT(Table1[[#This Row],[Order Date]],"mmm")</f>
        <v>Jan</v>
      </c>
      <c r="L24" s="17">
        <f>YEAR(Table1[[#This Row],[Order Date]])</f>
        <v>2024</v>
      </c>
      <c r="M24" s="17" t="str">
        <f>TEXT(Table1[[#This Row],[Order Date]],"dddd")</f>
        <v>Tuesday</v>
      </c>
    </row>
    <row r="25" spans="2:13" x14ac:dyDescent="0.25">
      <c r="B25" s="27">
        <v>1018</v>
      </c>
      <c r="C25" s="8">
        <v>45300</v>
      </c>
      <c r="D25" s="7" t="s">
        <v>27</v>
      </c>
      <c r="E25" s="8">
        <v>45303</v>
      </c>
      <c r="F25" s="7">
        <v>39.99</v>
      </c>
      <c r="G25" s="7">
        <v>3</v>
      </c>
      <c r="H25" s="7">
        <f t="shared" si="0"/>
        <v>11.997</v>
      </c>
      <c r="I25" s="12">
        <f t="shared" si="1"/>
        <v>131.96699999999998</v>
      </c>
      <c r="J25" s="7">
        <f>F25*Table1[[#This Row],[Order Quantity]]</f>
        <v>119.97</v>
      </c>
      <c r="K25" s="7" t="str">
        <f>TEXT(Table1[[#This Row],[Order Date]],"mmm")</f>
        <v>Jan</v>
      </c>
      <c r="L25" s="17">
        <f>YEAR(Table1[[#This Row],[Order Date]])</f>
        <v>2024</v>
      </c>
      <c r="M25" s="17" t="str">
        <f>TEXT(Table1[[#This Row],[Order Date]],"dddd")</f>
        <v>Tuesday</v>
      </c>
    </row>
    <row r="26" spans="2:13" x14ac:dyDescent="0.25">
      <c r="B26" s="27">
        <v>1019</v>
      </c>
      <c r="C26" s="8">
        <v>45301</v>
      </c>
      <c r="D26" s="7" t="s">
        <v>28</v>
      </c>
      <c r="E26" s="8">
        <v>45302</v>
      </c>
      <c r="F26" s="7">
        <v>199.99</v>
      </c>
      <c r="G26" s="7">
        <v>1</v>
      </c>
      <c r="H26" s="7">
        <f t="shared" si="0"/>
        <v>19.999000000000002</v>
      </c>
      <c r="I26" s="12">
        <f t="shared" si="1"/>
        <v>219.989</v>
      </c>
      <c r="J26" s="7">
        <f>F26*Table1[[#This Row],[Order Quantity]]</f>
        <v>199.99</v>
      </c>
      <c r="K26" s="7" t="str">
        <f>TEXT(Table1[[#This Row],[Order Date]],"mmm")</f>
        <v>Jan</v>
      </c>
      <c r="L26" s="17">
        <f>YEAR(Table1[[#This Row],[Order Date]])</f>
        <v>2024</v>
      </c>
      <c r="M26" s="17" t="str">
        <f>TEXT(Table1[[#This Row],[Order Date]],"dddd")</f>
        <v>Wednesday</v>
      </c>
    </row>
    <row r="27" spans="2:13" x14ac:dyDescent="0.25">
      <c r="B27" s="27">
        <v>1020</v>
      </c>
      <c r="C27" s="8">
        <v>45301</v>
      </c>
      <c r="D27" s="7" t="s">
        <v>29</v>
      </c>
      <c r="E27" s="8">
        <v>45305</v>
      </c>
      <c r="F27" s="7">
        <v>29.99</v>
      </c>
      <c r="G27" s="7">
        <v>5</v>
      </c>
      <c r="H27" s="7">
        <f t="shared" si="0"/>
        <v>14.994999999999999</v>
      </c>
      <c r="I27" s="12">
        <f t="shared" si="1"/>
        <v>164.94499999999999</v>
      </c>
      <c r="J27" s="7">
        <f>F27*Table1[[#This Row],[Order Quantity]]</f>
        <v>149.94999999999999</v>
      </c>
      <c r="K27" s="7" t="str">
        <f>TEXT(Table1[[#This Row],[Order Date]],"mmm")</f>
        <v>Jan</v>
      </c>
      <c r="L27" s="17">
        <f>YEAR(Table1[[#This Row],[Order Date]])</f>
        <v>2024</v>
      </c>
      <c r="M27" s="17" t="str">
        <f>TEXT(Table1[[#This Row],[Order Date]],"dddd")</f>
        <v>Wednesday</v>
      </c>
    </row>
    <row r="28" spans="2:13" x14ac:dyDescent="0.25">
      <c r="B28" s="27">
        <v>1021</v>
      </c>
      <c r="C28" s="8">
        <v>45302</v>
      </c>
      <c r="D28" s="7" t="s">
        <v>30</v>
      </c>
      <c r="E28" s="8">
        <v>45305</v>
      </c>
      <c r="F28" s="7">
        <v>79.989999999999995</v>
      </c>
      <c r="G28" s="7">
        <v>2</v>
      </c>
      <c r="H28" s="7">
        <f t="shared" si="0"/>
        <v>15.997999999999999</v>
      </c>
      <c r="I28" s="12">
        <f t="shared" si="1"/>
        <v>175.97799999999998</v>
      </c>
      <c r="J28" s="7">
        <f>F28*Table1[[#This Row],[Order Quantity]]</f>
        <v>159.97999999999999</v>
      </c>
      <c r="K28" s="7" t="str">
        <f>TEXT(Table1[[#This Row],[Order Date]],"mmm")</f>
        <v>Jan</v>
      </c>
      <c r="L28" s="17">
        <f>YEAR(Table1[[#This Row],[Order Date]])</f>
        <v>2024</v>
      </c>
      <c r="M28" s="17" t="str">
        <f>TEXT(Table1[[#This Row],[Order Date]],"dddd")</f>
        <v>Thursday</v>
      </c>
    </row>
    <row r="29" spans="2:13" x14ac:dyDescent="0.25">
      <c r="B29" s="27">
        <v>1022</v>
      </c>
      <c r="C29" s="8">
        <v>45302</v>
      </c>
      <c r="D29" s="7" t="s">
        <v>31</v>
      </c>
      <c r="E29" s="8">
        <v>45306</v>
      </c>
      <c r="F29" s="7">
        <v>49.99</v>
      </c>
      <c r="G29" s="7">
        <v>3</v>
      </c>
      <c r="H29" s="7">
        <f t="shared" si="0"/>
        <v>14.997</v>
      </c>
      <c r="I29" s="12">
        <f t="shared" si="1"/>
        <v>164.96699999999998</v>
      </c>
      <c r="J29" s="7">
        <f>F29*Table1[[#This Row],[Order Quantity]]</f>
        <v>149.97</v>
      </c>
      <c r="K29" s="7" t="str">
        <f>TEXT(Table1[[#This Row],[Order Date]],"mmm")</f>
        <v>Jan</v>
      </c>
      <c r="L29" s="17">
        <f>YEAR(Table1[[#This Row],[Order Date]])</f>
        <v>2024</v>
      </c>
      <c r="M29" s="17" t="str">
        <f>TEXT(Table1[[#This Row],[Order Date]],"dddd")</f>
        <v>Thursday</v>
      </c>
    </row>
    <row r="30" spans="2:13" x14ac:dyDescent="0.25">
      <c r="B30" s="27">
        <v>1023</v>
      </c>
      <c r="C30" s="8">
        <v>45303</v>
      </c>
      <c r="D30" s="7" t="s">
        <v>32</v>
      </c>
      <c r="E30" s="8">
        <v>45308</v>
      </c>
      <c r="F30" s="7">
        <v>129.99</v>
      </c>
      <c r="G30" s="7">
        <v>1</v>
      </c>
      <c r="H30" s="7">
        <f t="shared" si="0"/>
        <v>12.999000000000002</v>
      </c>
      <c r="I30" s="12">
        <f t="shared" si="1"/>
        <v>142.989</v>
      </c>
      <c r="J30" s="7">
        <f>F30*Table1[[#This Row],[Order Quantity]]</f>
        <v>129.99</v>
      </c>
      <c r="K30" s="7" t="str">
        <f>TEXT(Table1[[#This Row],[Order Date]],"mmm")</f>
        <v>Jan</v>
      </c>
      <c r="L30" s="17">
        <f>YEAR(Table1[[#This Row],[Order Date]])</f>
        <v>2024</v>
      </c>
      <c r="M30" s="17" t="str">
        <f>TEXT(Table1[[#This Row],[Order Date]],"dddd")</f>
        <v>Friday</v>
      </c>
    </row>
    <row r="31" spans="2:13" x14ac:dyDescent="0.25">
      <c r="B31" s="27">
        <v>1024</v>
      </c>
      <c r="C31" s="8">
        <v>45303</v>
      </c>
      <c r="D31" s="7" t="s">
        <v>33</v>
      </c>
      <c r="E31" s="8">
        <v>45308</v>
      </c>
      <c r="F31" s="7">
        <v>19.989999999999998</v>
      </c>
      <c r="G31" s="7">
        <v>4</v>
      </c>
      <c r="H31" s="7">
        <f t="shared" si="0"/>
        <v>7.9959999999999996</v>
      </c>
      <c r="I31" s="12">
        <f t="shared" si="1"/>
        <v>87.955999999999989</v>
      </c>
      <c r="J31" s="7">
        <f>F31*Table1[[#This Row],[Order Quantity]]</f>
        <v>79.959999999999994</v>
      </c>
      <c r="K31" s="7" t="str">
        <f>TEXT(Table1[[#This Row],[Order Date]],"mmm")</f>
        <v>Jan</v>
      </c>
      <c r="L31" s="17">
        <f>YEAR(Table1[[#This Row],[Order Date]])</f>
        <v>2024</v>
      </c>
      <c r="M31" s="17" t="str">
        <f>TEXT(Table1[[#This Row],[Order Date]],"dddd")</f>
        <v>Friday</v>
      </c>
    </row>
    <row r="32" spans="2:13" x14ac:dyDescent="0.25">
      <c r="B32" s="27">
        <v>1025</v>
      </c>
      <c r="C32" s="8">
        <v>45304</v>
      </c>
      <c r="D32" s="7" t="s">
        <v>14</v>
      </c>
      <c r="E32" s="8">
        <v>45308</v>
      </c>
      <c r="F32" s="7">
        <v>149.99</v>
      </c>
      <c r="G32" s="7">
        <v>1</v>
      </c>
      <c r="H32" s="7">
        <f t="shared" si="0"/>
        <v>14.999000000000002</v>
      </c>
      <c r="I32" s="12">
        <f t="shared" si="1"/>
        <v>164.989</v>
      </c>
      <c r="J32" s="7">
        <f>F32*Table1[[#This Row],[Order Quantity]]</f>
        <v>149.99</v>
      </c>
      <c r="K32" s="7" t="str">
        <f>TEXT(Table1[[#This Row],[Order Date]],"mmm")</f>
        <v>Jan</v>
      </c>
      <c r="L32" s="17">
        <f>YEAR(Table1[[#This Row],[Order Date]])</f>
        <v>2024</v>
      </c>
      <c r="M32" s="17" t="str">
        <f>TEXT(Table1[[#This Row],[Order Date]],"dddd")</f>
        <v>Saturday</v>
      </c>
    </row>
    <row r="33" spans="2:13" x14ac:dyDescent="0.25">
      <c r="B33" s="27">
        <v>1026</v>
      </c>
      <c r="C33" s="8">
        <v>45304</v>
      </c>
      <c r="D33" s="7" t="s">
        <v>34</v>
      </c>
      <c r="E33" s="8">
        <v>45305</v>
      </c>
      <c r="F33" s="7">
        <v>69.989999999999995</v>
      </c>
      <c r="G33" s="7">
        <v>2</v>
      </c>
      <c r="H33" s="7">
        <f t="shared" si="0"/>
        <v>13.997999999999999</v>
      </c>
      <c r="I33" s="12">
        <f t="shared" si="1"/>
        <v>153.97799999999998</v>
      </c>
      <c r="J33" s="7">
        <f>F33*Table1[[#This Row],[Order Quantity]]</f>
        <v>139.97999999999999</v>
      </c>
      <c r="K33" s="7" t="str">
        <f>TEXT(Table1[[#This Row],[Order Date]],"mmm")</f>
        <v>Jan</v>
      </c>
      <c r="L33" s="17">
        <f>YEAR(Table1[[#This Row],[Order Date]])</f>
        <v>2024</v>
      </c>
      <c r="M33" s="17" t="str">
        <f>TEXT(Table1[[#This Row],[Order Date]],"dddd")</f>
        <v>Saturday</v>
      </c>
    </row>
    <row r="34" spans="2:13" x14ac:dyDescent="0.25">
      <c r="B34" s="27">
        <v>1027</v>
      </c>
      <c r="C34" s="8">
        <v>45305</v>
      </c>
      <c r="D34" s="7" t="s">
        <v>35</v>
      </c>
      <c r="E34" s="8">
        <v>45309</v>
      </c>
      <c r="F34" s="7">
        <v>39.99</v>
      </c>
      <c r="G34" s="7">
        <v>3</v>
      </c>
      <c r="H34" s="7">
        <f t="shared" si="0"/>
        <v>11.997</v>
      </c>
      <c r="I34" s="12">
        <f t="shared" si="1"/>
        <v>131.96699999999998</v>
      </c>
      <c r="J34" s="7">
        <f>F34*Table1[[#This Row],[Order Quantity]]</f>
        <v>119.97</v>
      </c>
      <c r="K34" s="7" t="str">
        <f>TEXT(Table1[[#This Row],[Order Date]],"mmm")</f>
        <v>Jan</v>
      </c>
      <c r="L34" s="17">
        <f>YEAR(Table1[[#This Row],[Order Date]])</f>
        <v>2024</v>
      </c>
      <c r="M34" s="17" t="str">
        <f>TEXT(Table1[[#This Row],[Order Date]],"dddd")</f>
        <v>Sunday</v>
      </c>
    </row>
    <row r="35" spans="2:13" x14ac:dyDescent="0.25">
      <c r="B35" s="27">
        <v>1028</v>
      </c>
      <c r="C35" s="8">
        <v>45305</v>
      </c>
      <c r="D35" s="7" t="s">
        <v>36</v>
      </c>
      <c r="E35" s="8">
        <v>45310</v>
      </c>
      <c r="F35" s="7">
        <v>199.99</v>
      </c>
      <c r="G35" s="7">
        <v>1</v>
      </c>
      <c r="H35" s="7">
        <f t="shared" si="0"/>
        <v>19.999000000000002</v>
      </c>
      <c r="I35" s="12">
        <f t="shared" si="1"/>
        <v>219.989</v>
      </c>
      <c r="J35" s="7">
        <f>F35*Table1[[#This Row],[Order Quantity]]</f>
        <v>199.99</v>
      </c>
      <c r="K35" s="7" t="str">
        <f>TEXT(Table1[[#This Row],[Order Date]],"mmm")</f>
        <v>Jan</v>
      </c>
      <c r="L35" s="17">
        <f>YEAR(Table1[[#This Row],[Order Date]])</f>
        <v>2024</v>
      </c>
      <c r="M35" s="17" t="str">
        <f>TEXT(Table1[[#This Row],[Order Date]],"dddd")</f>
        <v>Sunday</v>
      </c>
    </row>
    <row r="36" spans="2:13" x14ac:dyDescent="0.25">
      <c r="B36" s="27">
        <v>1029</v>
      </c>
      <c r="C36" s="8">
        <v>45306</v>
      </c>
      <c r="D36" s="7" t="s">
        <v>37</v>
      </c>
      <c r="E36" s="8">
        <v>45310</v>
      </c>
      <c r="F36" s="7">
        <v>29.99</v>
      </c>
      <c r="G36" s="7">
        <v>5</v>
      </c>
      <c r="H36" s="7">
        <f t="shared" si="0"/>
        <v>14.994999999999999</v>
      </c>
      <c r="I36" s="12">
        <f t="shared" si="1"/>
        <v>164.94499999999999</v>
      </c>
      <c r="J36" s="7">
        <f>F36*Table1[[#This Row],[Order Quantity]]</f>
        <v>149.94999999999999</v>
      </c>
      <c r="K36" s="7" t="str">
        <f>TEXT(Table1[[#This Row],[Order Date]],"mmm")</f>
        <v>Jan</v>
      </c>
      <c r="L36" s="17">
        <f>YEAR(Table1[[#This Row],[Order Date]])</f>
        <v>2024</v>
      </c>
      <c r="M36" s="17" t="str">
        <f>TEXT(Table1[[#This Row],[Order Date]],"dddd")</f>
        <v>Monday</v>
      </c>
    </row>
    <row r="37" spans="2:13" x14ac:dyDescent="0.25">
      <c r="B37" s="27">
        <v>1030</v>
      </c>
      <c r="C37" s="8">
        <v>45306</v>
      </c>
      <c r="D37" s="7" t="s">
        <v>38</v>
      </c>
      <c r="E37" s="8">
        <v>45310</v>
      </c>
      <c r="F37" s="7">
        <v>79.989999999999995</v>
      </c>
      <c r="G37" s="7">
        <v>2</v>
      </c>
      <c r="H37" s="7">
        <f t="shared" si="0"/>
        <v>15.997999999999999</v>
      </c>
      <c r="I37" s="12">
        <f t="shared" si="1"/>
        <v>175.97799999999998</v>
      </c>
      <c r="J37" s="7">
        <f>F37*Table1[[#This Row],[Order Quantity]]</f>
        <v>159.97999999999999</v>
      </c>
      <c r="K37" s="7" t="str">
        <f>TEXT(Table1[[#This Row],[Order Date]],"mmm")</f>
        <v>Jan</v>
      </c>
      <c r="L37" s="17">
        <f>YEAR(Table1[[#This Row],[Order Date]])</f>
        <v>2024</v>
      </c>
      <c r="M37" s="17" t="str">
        <f>TEXT(Table1[[#This Row],[Order Date]],"dddd")</f>
        <v>Monday</v>
      </c>
    </row>
    <row r="38" spans="2:13" x14ac:dyDescent="0.25">
      <c r="B38" s="27">
        <v>1031</v>
      </c>
      <c r="C38" s="8">
        <v>45307</v>
      </c>
      <c r="D38" s="7" t="s">
        <v>39</v>
      </c>
      <c r="E38" s="8">
        <v>45310</v>
      </c>
      <c r="F38" s="7">
        <v>49.99</v>
      </c>
      <c r="G38" s="7">
        <v>3</v>
      </c>
      <c r="H38" s="7">
        <f t="shared" si="0"/>
        <v>14.997</v>
      </c>
      <c r="I38" s="12">
        <f t="shared" si="1"/>
        <v>164.96699999999998</v>
      </c>
      <c r="J38" s="7">
        <f>F38*Table1[[#This Row],[Order Quantity]]</f>
        <v>149.97</v>
      </c>
      <c r="K38" s="7" t="str">
        <f>TEXT(Table1[[#This Row],[Order Date]],"mmm")</f>
        <v>Jan</v>
      </c>
      <c r="L38" s="17">
        <f>YEAR(Table1[[#This Row],[Order Date]])</f>
        <v>2024</v>
      </c>
      <c r="M38" s="17" t="str">
        <f>TEXT(Table1[[#This Row],[Order Date]],"dddd")</f>
        <v>Tuesday</v>
      </c>
    </row>
    <row r="39" spans="2:13" x14ac:dyDescent="0.25">
      <c r="B39" s="27">
        <v>1032</v>
      </c>
      <c r="C39" s="8">
        <v>45307</v>
      </c>
      <c r="D39" s="7" t="s">
        <v>40</v>
      </c>
      <c r="E39" s="8">
        <v>45308</v>
      </c>
      <c r="F39" s="7">
        <v>129.99</v>
      </c>
      <c r="G39" s="7">
        <v>1</v>
      </c>
      <c r="H39" s="7">
        <f t="shared" si="0"/>
        <v>12.999000000000002</v>
      </c>
      <c r="I39" s="12">
        <f t="shared" si="1"/>
        <v>142.989</v>
      </c>
      <c r="J39" s="7">
        <f>F39*Table1[[#This Row],[Order Quantity]]</f>
        <v>129.99</v>
      </c>
      <c r="K39" s="7" t="str">
        <f>TEXT(Table1[[#This Row],[Order Date]],"mmm")</f>
        <v>Jan</v>
      </c>
      <c r="L39" s="17">
        <f>YEAR(Table1[[#This Row],[Order Date]])</f>
        <v>2024</v>
      </c>
      <c r="M39" s="17" t="str">
        <f>TEXT(Table1[[#This Row],[Order Date]],"dddd")</f>
        <v>Tuesday</v>
      </c>
    </row>
    <row r="40" spans="2:13" x14ac:dyDescent="0.25">
      <c r="B40" s="27">
        <v>1033</v>
      </c>
      <c r="C40" s="8">
        <v>45308</v>
      </c>
      <c r="D40" s="7" t="s">
        <v>41</v>
      </c>
      <c r="E40" s="8">
        <v>45310</v>
      </c>
      <c r="F40" s="7">
        <v>19.989999999999998</v>
      </c>
      <c r="G40" s="7">
        <v>4</v>
      </c>
      <c r="H40" s="7">
        <f t="shared" si="0"/>
        <v>7.9959999999999996</v>
      </c>
      <c r="I40" s="12">
        <f t="shared" si="1"/>
        <v>87.955999999999989</v>
      </c>
      <c r="J40" s="7">
        <f>F40*Table1[[#This Row],[Order Quantity]]</f>
        <v>79.959999999999994</v>
      </c>
      <c r="K40" s="7" t="str">
        <f>TEXT(Table1[[#This Row],[Order Date]],"mmm")</f>
        <v>Jan</v>
      </c>
      <c r="L40" s="17">
        <f>YEAR(Table1[[#This Row],[Order Date]])</f>
        <v>2024</v>
      </c>
      <c r="M40" s="17" t="str">
        <f>TEXT(Table1[[#This Row],[Order Date]],"dddd")</f>
        <v>Wednesday</v>
      </c>
    </row>
    <row r="41" spans="2:13" x14ac:dyDescent="0.25">
      <c r="B41" s="27">
        <v>1034</v>
      </c>
      <c r="C41" s="8">
        <v>45308</v>
      </c>
      <c r="D41" s="7" t="s">
        <v>42</v>
      </c>
      <c r="E41" s="8">
        <v>45310</v>
      </c>
      <c r="F41" s="7">
        <v>149.99</v>
      </c>
      <c r="G41" s="7">
        <v>1</v>
      </c>
      <c r="H41" s="7">
        <f t="shared" si="0"/>
        <v>14.999000000000002</v>
      </c>
      <c r="I41" s="12">
        <f t="shared" si="1"/>
        <v>164.989</v>
      </c>
      <c r="J41" s="7">
        <f>F41*Table1[[#This Row],[Order Quantity]]</f>
        <v>149.99</v>
      </c>
      <c r="K41" s="7" t="str">
        <f>TEXT(Table1[[#This Row],[Order Date]],"mmm")</f>
        <v>Jan</v>
      </c>
      <c r="L41" s="17">
        <f>YEAR(Table1[[#This Row],[Order Date]])</f>
        <v>2024</v>
      </c>
      <c r="M41" s="17" t="str">
        <f>TEXT(Table1[[#This Row],[Order Date]],"dddd")</f>
        <v>Wednesday</v>
      </c>
    </row>
    <row r="42" spans="2:13" x14ac:dyDescent="0.25">
      <c r="B42" s="27">
        <v>1035</v>
      </c>
      <c r="C42" s="8">
        <v>45309</v>
      </c>
      <c r="D42" s="7" t="s">
        <v>43</v>
      </c>
      <c r="E42" s="8">
        <v>45314</v>
      </c>
      <c r="F42" s="7">
        <v>69.989999999999995</v>
      </c>
      <c r="G42" s="7">
        <v>2</v>
      </c>
      <c r="H42" s="7">
        <f t="shared" si="0"/>
        <v>13.997999999999999</v>
      </c>
      <c r="I42" s="12">
        <f t="shared" si="1"/>
        <v>153.97799999999998</v>
      </c>
      <c r="J42" s="7">
        <f>F42*Table1[[#This Row],[Order Quantity]]</f>
        <v>139.97999999999999</v>
      </c>
      <c r="K42" s="7" t="str">
        <f>TEXT(Table1[[#This Row],[Order Date]],"mmm")</f>
        <v>Jan</v>
      </c>
      <c r="L42" s="17">
        <f>YEAR(Table1[[#This Row],[Order Date]])</f>
        <v>2024</v>
      </c>
      <c r="M42" s="17" t="str">
        <f>TEXT(Table1[[#This Row],[Order Date]],"dddd")</f>
        <v>Thursday</v>
      </c>
    </row>
    <row r="43" spans="2:13" x14ac:dyDescent="0.25">
      <c r="B43" s="27">
        <v>1036</v>
      </c>
      <c r="C43" s="8">
        <v>45309</v>
      </c>
      <c r="D43" s="7" t="s">
        <v>44</v>
      </c>
      <c r="E43" s="8">
        <v>45310</v>
      </c>
      <c r="F43" s="7">
        <v>39.99</v>
      </c>
      <c r="G43" s="7">
        <v>3</v>
      </c>
      <c r="H43" s="7">
        <f t="shared" si="0"/>
        <v>11.997</v>
      </c>
      <c r="I43" s="12">
        <f t="shared" si="1"/>
        <v>131.96699999999998</v>
      </c>
      <c r="J43" s="7">
        <f>F43*Table1[[#This Row],[Order Quantity]]</f>
        <v>119.97</v>
      </c>
      <c r="K43" s="7" t="str">
        <f>TEXT(Table1[[#This Row],[Order Date]],"mmm")</f>
        <v>Jan</v>
      </c>
      <c r="L43" s="17">
        <f>YEAR(Table1[[#This Row],[Order Date]])</f>
        <v>2024</v>
      </c>
      <c r="M43" s="17" t="str">
        <f>TEXT(Table1[[#This Row],[Order Date]],"dddd")</f>
        <v>Thursday</v>
      </c>
    </row>
    <row r="44" spans="2:13" x14ac:dyDescent="0.25">
      <c r="B44" s="27">
        <v>1037</v>
      </c>
      <c r="C44" s="8">
        <v>45310</v>
      </c>
      <c r="D44" s="7" t="s">
        <v>45</v>
      </c>
      <c r="E44" s="8">
        <v>45311</v>
      </c>
      <c r="F44" s="7">
        <v>199.99</v>
      </c>
      <c r="G44" s="7">
        <v>1</v>
      </c>
      <c r="H44" s="7">
        <f t="shared" si="0"/>
        <v>19.999000000000002</v>
      </c>
      <c r="I44" s="12">
        <f t="shared" si="1"/>
        <v>219.989</v>
      </c>
      <c r="J44" s="7">
        <f>F44*Table1[[#This Row],[Order Quantity]]</f>
        <v>199.99</v>
      </c>
      <c r="K44" s="7" t="str">
        <f>TEXT(Table1[[#This Row],[Order Date]],"mmm")</f>
        <v>Jan</v>
      </c>
      <c r="L44" s="17">
        <f>YEAR(Table1[[#This Row],[Order Date]])</f>
        <v>2024</v>
      </c>
      <c r="M44" s="17" t="str">
        <f>TEXT(Table1[[#This Row],[Order Date]],"dddd")</f>
        <v>Friday</v>
      </c>
    </row>
    <row r="45" spans="2:13" x14ac:dyDescent="0.25">
      <c r="B45" s="27">
        <v>1038</v>
      </c>
      <c r="C45" s="8">
        <v>45310</v>
      </c>
      <c r="D45" s="7" t="s">
        <v>46</v>
      </c>
      <c r="E45" s="8">
        <v>45313</v>
      </c>
      <c r="F45" s="7">
        <v>29.99</v>
      </c>
      <c r="G45" s="7">
        <v>5</v>
      </c>
      <c r="H45" s="7">
        <f t="shared" si="0"/>
        <v>14.994999999999999</v>
      </c>
      <c r="I45" s="12">
        <f t="shared" si="1"/>
        <v>164.94499999999999</v>
      </c>
      <c r="J45" s="7">
        <f>F45*Table1[[#This Row],[Order Quantity]]</f>
        <v>149.94999999999999</v>
      </c>
      <c r="K45" s="7" t="str">
        <f>TEXT(Table1[[#This Row],[Order Date]],"mmm")</f>
        <v>Jan</v>
      </c>
      <c r="L45" s="17">
        <f>YEAR(Table1[[#This Row],[Order Date]])</f>
        <v>2024</v>
      </c>
      <c r="M45" s="17" t="str">
        <f>TEXT(Table1[[#This Row],[Order Date]],"dddd")</f>
        <v>Friday</v>
      </c>
    </row>
    <row r="46" spans="2:13" x14ac:dyDescent="0.25">
      <c r="B46" s="27">
        <v>1039</v>
      </c>
      <c r="C46" s="8">
        <v>45311</v>
      </c>
      <c r="D46" s="7" t="s">
        <v>12</v>
      </c>
      <c r="E46" s="8">
        <v>45315</v>
      </c>
      <c r="F46" s="7">
        <v>79.989999999999995</v>
      </c>
      <c r="G46" s="7">
        <v>2</v>
      </c>
      <c r="H46" s="7">
        <f t="shared" si="0"/>
        <v>15.997999999999999</v>
      </c>
      <c r="I46" s="12">
        <f t="shared" si="1"/>
        <v>175.97799999999998</v>
      </c>
      <c r="J46" s="7">
        <f>F46*Table1[[#This Row],[Order Quantity]]</f>
        <v>159.97999999999999</v>
      </c>
      <c r="K46" s="7" t="str">
        <f>TEXT(Table1[[#This Row],[Order Date]],"mmm")</f>
        <v>Jan</v>
      </c>
      <c r="L46" s="17">
        <f>YEAR(Table1[[#This Row],[Order Date]])</f>
        <v>2024</v>
      </c>
      <c r="M46" s="17" t="str">
        <f>TEXT(Table1[[#This Row],[Order Date]],"dddd")</f>
        <v>Saturday</v>
      </c>
    </row>
    <row r="47" spans="2:13" x14ac:dyDescent="0.25">
      <c r="B47" s="27">
        <v>1040</v>
      </c>
      <c r="C47" s="8">
        <v>45311</v>
      </c>
      <c r="D47" s="7" t="s">
        <v>33</v>
      </c>
      <c r="E47" s="8">
        <v>45312</v>
      </c>
      <c r="F47" s="7">
        <v>49.99</v>
      </c>
      <c r="G47" s="7">
        <v>3</v>
      </c>
      <c r="H47" s="7">
        <f t="shared" si="0"/>
        <v>14.997</v>
      </c>
      <c r="I47" s="12">
        <f t="shared" si="1"/>
        <v>164.96699999999998</v>
      </c>
      <c r="J47" s="7">
        <f>F47*Table1[[#This Row],[Order Quantity]]</f>
        <v>149.97</v>
      </c>
      <c r="K47" s="7" t="str">
        <f>TEXT(Table1[[#This Row],[Order Date]],"mmm")</f>
        <v>Jan</v>
      </c>
      <c r="L47" s="17">
        <f>YEAR(Table1[[#This Row],[Order Date]])</f>
        <v>2024</v>
      </c>
      <c r="M47" s="17" t="str">
        <f>TEXT(Table1[[#This Row],[Order Date]],"dddd")</f>
        <v>Saturday</v>
      </c>
    </row>
    <row r="48" spans="2:13" x14ac:dyDescent="0.25">
      <c r="B48" s="27">
        <v>1041</v>
      </c>
      <c r="C48" s="8">
        <v>45312</v>
      </c>
      <c r="D48" s="7" t="s">
        <v>14</v>
      </c>
      <c r="E48" s="8">
        <v>45317</v>
      </c>
      <c r="F48" s="7">
        <v>129.99</v>
      </c>
      <c r="G48" s="7">
        <v>1</v>
      </c>
      <c r="H48" s="7">
        <f t="shared" si="0"/>
        <v>12.999000000000002</v>
      </c>
      <c r="I48" s="12">
        <f t="shared" si="1"/>
        <v>142.989</v>
      </c>
      <c r="J48" s="7">
        <f>F48*Table1[[#This Row],[Order Quantity]]</f>
        <v>129.99</v>
      </c>
      <c r="K48" s="7" t="str">
        <f>TEXT(Table1[[#This Row],[Order Date]],"mmm")</f>
        <v>Jan</v>
      </c>
      <c r="L48" s="17">
        <f>YEAR(Table1[[#This Row],[Order Date]])</f>
        <v>2024</v>
      </c>
      <c r="M48" s="17" t="str">
        <f>TEXT(Table1[[#This Row],[Order Date]],"dddd")</f>
        <v>Sunday</v>
      </c>
    </row>
    <row r="49" spans="2:13" x14ac:dyDescent="0.25">
      <c r="B49" s="27">
        <v>1042</v>
      </c>
      <c r="C49" s="8">
        <v>45312</v>
      </c>
      <c r="D49" s="7" t="s">
        <v>47</v>
      </c>
      <c r="E49" s="8">
        <v>45314</v>
      </c>
      <c r="F49" s="7">
        <v>19.989999999999998</v>
      </c>
      <c r="G49" s="7">
        <v>4</v>
      </c>
      <c r="H49" s="7">
        <f t="shared" si="0"/>
        <v>7.9959999999999996</v>
      </c>
      <c r="I49" s="12">
        <f t="shared" si="1"/>
        <v>87.955999999999989</v>
      </c>
      <c r="J49" s="7">
        <f>F49*Table1[[#This Row],[Order Quantity]]</f>
        <v>79.959999999999994</v>
      </c>
      <c r="K49" s="7" t="str">
        <f>TEXT(Table1[[#This Row],[Order Date]],"mmm")</f>
        <v>Jan</v>
      </c>
      <c r="L49" s="17">
        <f>YEAR(Table1[[#This Row],[Order Date]])</f>
        <v>2024</v>
      </c>
      <c r="M49" s="17" t="str">
        <f>TEXT(Table1[[#This Row],[Order Date]],"dddd")</f>
        <v>Sunday</v>
      </c>
    </row>
    <row r="50" spans="2:13" x14ac:dyDescent="0.25">
      <c r="B50" s="27">
        <v>1043</v>
      </c>
      <c r="C50" s="8">
        <v>45313</v>
      </c>
      <c r="D50" s="7" t="s">
        <v>48</v>
      </c>
      <c r="E50" s="8">
        <v>45316</v>
      </c>
      <c r="F50" s="7">
        <v>149.99</v>
      </c>
      <c r="G50" s="7">
        <v>1</v>
      </c>
      <c r="H50" s="7">
        <f t="shared" si="0"/>
        <v>14.999000000000002</v>
      </c>
      <c r="I50" s="12">
        <f t="shared" si="1"/>
        <v>164.989</v>
      </c>
      <c r="J50" s="7">
        <f>F50*Table1[[#This Row],[Order Quantity]]</f>
        <v>149.99</v>
      </c>
      <c r="K50" s="7" t="str">
        <f>TEXT(Table1[[#This Row],[Order Date]],"mmm")</f>
        <v>Jan</v>
      </c>
      <c r="L50" s="17">
        <f>YEAR(Table1[[#This Row],[Order Date]])</f>
        <v>2024</v>
      </c>
      <c r="M50" s="17" t="str">
        <f>TEXT(Table1[[#This Row],[Order Date]],"dddd")</f>
        <v>Monday</v>
      </c>
    </row>
    <row r="51" spans="2:13" x14ac:dyDescent="0.25">
      <c r="B51" s="27">
        <v>1044</v>
      </c>
      <c r="C51" s="8">
        <v>45313</v>
      </c>
      <c r="D51" s="7" t="s">
        <v>13</v>
      </c>
      <c r="E51" s="8">
        <v>45316</v>
      </c>
      <c r="F51" s="7">
        <v>69.989999999999995</v>
      </c>
      <c r="G51" s="7">
        <v>2</v>
      </c>
      <c r="H51" s="7">
        <f t="shared" si="0"/>
        <v>13.997999999999999</v>
      </c>
      <c r="I51" s="12">
        <f t="shared" si="1"/>
        <v>153.97799999999998</v>
      </c>
      <c r="J51" s="7">
        <f>F51*Table1[[#This Row],[Order Quantity]]</f>
        <v>139.97999999999999</v>
      </c>
      <c r="K51" s="7" t="str">
        <f>TEXT(Table1[[#This Row],[Order Date]],"mmm")</f>
        <v>Jan</v>
      </c>
      <c r="L51" s="17">
        <f>YEAR(Table1[[#This Row],[Order Date]])</f>
        <v>2024</v>
      </c>
      <c r="M51" s="17" t="str">
        <f>TEXT(Table1[[#This Row],[Order Date]],"dddd")</f>
        <v>Monday</v>
      </c>
    </row>
    <row r="52" spans="2:13" x14ac:dyDescent="0.25">
      <c r="B52" s="27">
        <v>1045</v>
      </c>
      <c r="C52" s="8">
        <v>45314</v>
      </c>
      <c r="D52" s="7" t="s">
        <v>49</v>
      </c>
      <c r="E52" s="8">
        <v>45318</v>
      </c>
      <c r="F52" s="7">
        <v>39.99</v>
      </c>
      <c r="G52" s="7">
        <v>3</v>
      </c>
      <c r="H52" s="7">
        <f t="shared" si="0"/>
        <v>11.997</v>
      </c>
      <c r="I52" s="12">
        <f t="shared" si="1"/>
        <v>131.96699999999998</v>
      </c>
      <c r="J52" s="7">
        <f>F52*Table1[[#This Row],[Order Quantity]]</f>
        <v>119.97</v>
      </c>
      <c r="K52" s="7" t="str">
        <f>TEXT(Table1[[#This Row],[Order Date]],"mmm")</f>
        <v>Jan</v>
      </c>
      <c r="L52" s="17">
        <f>YEAR(Table1[[#This Row],[Order Date]])</f>
        <v>2024</v>
      </c>
      <c r="M52" s="17" t="str">
        <f>TEXT(Table1[[#This Row],[Order Date]],"dddd")</f>
        <v>Tuesday</v>
      </c>
    </row>
    <row r="53" spans="2:13" x14ac:dyDescent="0.25">
      <c r="B53" s="27">
        <v>1046</v>
      </c>
      <c r="C53" s="8">
        <v>45314</v>
      </c>
      <c r="D53" s="7" t="s">
        <v>29</v>
      </c>
      <c r="E53" s="8">
        <v>45317</v>
      </c>
      <c r="F53" s="7">
        <v>199.99</v>
      </c>
      <c r="G53" s="7">
        <v>1</v>
      </c>
      <c r="H53" s="7">
        <f t="shared" si="0"/>
        <v>19.999000000000002</v>
      </c>
      <c r="I53" s="12">
        <f t="shared" si="1"/>
        <v>219.989</v>
      </c>
      <c r="J53" s="7">
        <f>F53*Table1[[#This Row],[Order Quantity]]</f>
        <v>199.99</v>
      </c>
      <c r="K53" s="7" t="str">
        <f>TEXT(Table1[[#This Row],[Order Date]],"mmm")</f>
        <v>Jan</v>
      </c>
      <c r="L53" s="17">
        <f>YEAR(Table1[[#This Row],[Order Date]])</f>
        <v>2024</v>
      </c>
      <c r="M53" s="17" t="str">
        <f>TEXT(Table1[[#This Row],[Order Date]],"dddd")</f>
        <v>Tuesday</v>
      </c>
    </row>
    <row r="54" spans="2:13" x14ac:dyDescent="0.25">
      <c r="B54" s="27">
        <v>1047</v>
      </c>
      <c r="C54" s="8">
        <v>45315</v>
      </c>
      <c r="D54" s="7" t="s">
        <v>50</v>
      </c>
      <c r="E54" s="8">
        <v>45316</v>
      </c>
      <c r="F54" s="7">
        <v>29.99</v>
      </c>
      <c r="G54" s="7">
        <v>5</v>
      </c>
      <c r="H54" s="7">
        <f t="shared" si="0"/>
        <v>14.994999999999999</v>
      </c>
      <c r="I54" s="12">
        <f t="shared" si="1"/>
        <v>164.94499999999999</v>
      </c>
      <c r="J54" s="7">
        <f>F54*Table1[[#This Row],[Order Quantity]]</f>
        <v>149.94999999999999</v>
      </c>
      <c r="K54" s="7" t="str">
        <f>TEXT(Table1[[#This Row],[Order Date]],"mmm")</f>
        <v>Jan</v>
      </c>
      <c r="L54" s="17">
        <f>YEAR(Table1[[#This Row],[Order Date]])</f>
        <v>2024</v>
      </c>
      <c r="M54" s="17" t="str">
        <f>TEXT(Table1[[#This Row],[Order Date]],"dddd")</f>
        <v>Wednesday</v>
      </c>
    </row>
    <row r="55" spans="2:13" x14ac:dyDescent="0.25">
      <c r="B55" s="27">
        <v>1048</v>
      </c>
      <c r="C55" s="8">
        <v>45315</v>
      </c>
      <c r="D55" s="7" t="s">
        <v>51</v>
      </c>
      <c r="E55" s="8">
        <v>45317</v>
      </c>
      <c r="F55" s="7">
        <v>79.989999999999995</v>
      </c>
      <c r="G55" s="7">
        <v>2</v>
      </c>
      <c r="H55" s="7">
        <f t="shared" si="0"/>
        <v>15.997999999999999</v>
      </c>
      <c r="I55" s="12">
        <f t="shared" si="1"/>
        <v>175.97799999999998</v>
      </c>
      <c r="J55" s="7">
        <f>F55*Table1[[#This Row],[Order Quantity]]</f>
        <v>159.97999999999999</v>
      </c>
      <c r="K55" s="7" t="str">
        <f>TEXT(Table1[[#This Row],[Order Date]],"mmm")</f>
        <v>Jan</v>
      </c>
      <c r="L55" s="17">
        <f>YEAR(Table1[[#This Row],[Order Date]])</f>
        <v>2024</v>
      </c>
      <c r="M55" s="17" t="str">
        <f>TEXT(Table1[[#This Row],[Order Date]],"dddd")</f>
        <v>Wednesday</v>
      </c>
    </row>
    <row r="56" spans="2:13" x14ac:dyDescent="0.25">
      <c r="B56" s="27">
        <v>1049</v>
      </c>
      <c r="C56" s="8">
        <v>45316</v>
      </c>
      <c r="D56" s="7" t="s">
        <v>52</v>
      </c>
      <c r="E56" s="8">
        <v>45321</v>
      </c>
      <c r="F56" s="7">
        <v>49.99</v>
      </c>
      <c r="G56" s="7">
        <v>3</v>
      </c>
      <c r="H56" s="7">
        <f t="shared" si="0"/>
        <v>14.997</v>
      </c>
      <c r="I56" s="12">
        <f t="shared" si="1"/>
        <v>164.96699999999998</v>
      </c>
      <c r="J56" s="7">
        <f>F56*Table1[[#This Row],[Order Quantity]]</f>
        <v>149.97</v>
      </c>
      <c r="K56" s="7" t="str">
        <f>TEXT(Table1[[#This Row],[Order Date]],"mmm")</f>
        <v>Jan</v>
      </c>
      <c r="L56" s="17">
        <f>YEAR(Table1[[#This Row],[Order Date]])</f>
        <v>2024</v>
      </c>
      <c r="M56" s="17" t="str">
        <f>TEXT(Table1[[#This Row],[Order Date]],"dddd")</f>
        <v>Thursday</v>
      </c>
    </row>
    <row r="57" spans="2:13" x14ac:dyDescent="0.25">
      <c r="B57" s="27">
        <v>1050</v>
      </c>
      <c r="C57" s="8">
        <v>45316</v>
      </c>
      <c r="D57" s="7" t="s">
        <v>53</v>
      </c>
      <c r="E57" s="8">
        <v>45318</v>
      </c>
      <c r="F57" s="7">
        <v>129.99</v>
      </c>
      <c r="G57" s="7">
        <v>1</v>
      </c>
      <c r="H57" s="7">
        <f t="shared" si="0"/>
        <v>12.999000000000002</v>
      </c>
      <c r="I57" s="12">
        <f t="shared" si="1"/>
        <v>142.989</v>
      </c>
      <c r="J57" s="7">
        <f>F57*Table1[[#This Row],[Order Quantity]]</f>
        <v>129.99</v>
      </c>
      <c r="K57" s="7" t="str">
        <f>TEXT(Table1[[#This Row],[Order Date]],"mmm")</f>
        <v>Jan</v>
      </c>
      <c r="L57" s="17">
        <f>YEAR(Table1[[#This Row],[Order Date]])</f>
        <v>2024</v>
      </c>
      <c r="M57" s="17" t="str">
        <f>TEXT(Table1[[#This Row],[Order Date]],"dddd")</f>
        <v>Thursday</v>
      </c>
    </row>
    <row r="58" spans="2:13" x14ac:dyDescent="0.25">
      <c r="B58" s="27">
        <v>1051</v>
      </c>
      <c r="C58" s="8">
        <v>45317</v>
      </c>
      <c r="D58" s="7" t="s">
        <v>54</v>
      </c>
      <c r="E58" s="8">
        <v>45320</v>
      </c>
      <c r="F58" s="7">
        <v>19.989999999999998</v>
      </c>
      <c r="G58" s="7">
        <v>4</v>
      </c>
      <c r="H58" s="7">
        <f t="shared" si="0"/>
        <v>7.9959999999999996</v>
      </c>
      <c r="I58" s="12">
        <f t="shared" si="1"/>
        <v>87.955999999999989</v>
      </c>
      <c r="J58" s="7">
        <f>F58*Table1[[#This Row],[Order Quantity]]</f>
        <v>79.959999999999994</v>
      </c>
      <c r="K58" s="7" t="str">
        <f>TEXT(Table1[[#This Row],[Order Date]],"mmm")</f>
        <v>Jan</v>
      </c>
      <c r="L58" s="17">
        <f>YEAR(Table1[[#This Row],[Order Date]])</f>
        <v>2024</v>
      </c>
      <c r="M58" s="17" t="str">
        <f>TEXT(Table1[[#This Row],[Order Date]],"dddd")</f>
        <v>Friday</v>
      </c>
    </row>
    <row r="59" spans="2:13" x14ac:dyDescent="0.25">
      <c r="B59" s="27">
        <v>1052</v>
      </c>
      <c r="C59" s="8">
        <v>45317</v>
      </c>
      <c r="D59" s="7" t="s">
        <v>55</v>
      </c>
      <c r="E59" s="8">
        <v>45319</v>
      </c>
      <c r="F59" s="7">
        <v>149.99</v>
      </c>
      <c r="G59" s="7">
        <v>1</v>
      </c>
      <c r="H59" s="7">
        <f t="shared" si="0"/>
        <v>14.999000000000002</v>
      </c>
      <c r="I59" s="12">
        <f t="shared" si="1"/>
        <v>164.989</v>
      </c>
      <c r="J59" s="7">
        <f>F59*Table1[[#This Row],[Order Quantity]]</f>
        <v>149.99</v>
      </c>
      <c r="K59" s="7" t="str">
        <f>TEXT(Table1[[#This Row],[Order Date]],"mmm")</f>
        <v>Jan</v>
      </c>
      <c r="L59" s="17">
        <f>YEAR(Table1[[#This Row],[Order Date]])</f>
        <v>2024</v>
      </c>
      <c r="M59" s="17" t="str">
        <f>TEXT(Table1[[#This Row],[Order Date]],"dddd")</f>
        <v>Friday</v>
      </c>
    </row>
    <row r="60" spans="2:13" x14ac:dyDescent="0.25">
      <c r="B60" s="27">
        <v>1053</v>
      </c>
      <c r="C60" s="8">
        <v>45318</v>
      </c>
      <c r="D60" s="7" t="s">
        <v>56</v>
      </c>
      <c r="E60" s="8">
        <v>45322</v>
      </c>
      <c r="F60" s="7">
        <v>69.989999999999995</v>
      </c>
      <c r="G60" s="7">
        <v>2</v>
      </c>
      <c r="H60" s="7">
        <f t="shared" si="0"/>
        <v>13.997999999999999</v>
      </c>
      <c r="I60" s="12">
        <f t="shared" si="1"/>
        <v>153.97799999999998</v>
      </c>
      <c r="J60" s="7">
        <f>F60*Table1[[#This Row],[Order Quantity]]</f>
        <v>139.97999999999999</v>
      </c>
      <c r="K60" s="7" t="str">
        <f>TEXT(Table1[[#This Row],[Order Date]],"mmm")</f>
        <v>Jan</v>
      </c>
      <c r="L60" s="17">
        <f>YEAR(Table1[[#This Row],[Order Date]])</f>
        <v>2024</v>
      </c>
      <c r="M60" s="17" t="str">
        <f>TEXT(Table1[[#This Row],[Order Date]],"dddd")</f>
        <v>Saturday</v>
      </c>
    </row>
    <row r="61" spans="2:13" x14ac:dyDescent="0.25">
      <c r="B61" s="27">
        <v>1054</v>
      </c>
      <c r="C61" s="8">
        <v>45318</v>
      </c>
      <c r="D61" s="7" t="s">
        <v>57</v>
      </c>
      <c r="E61" s="8">
        <v>45322</v>
      </c>
      <c r="F61" s="7">
        <v>39.99</v>
      </c>
      <c r="G61" s="7">
        <v>3</v>
      </c>
      <c r="H61" s="7">
        <f t="shared" si="0"/>
        <v>11.997</v>
      </c>
      <c r="I61" s="12">
        <f t="shared" si="1"/>
        <v>131.96699999999998</v>
      </c>
      <c r="J61" s="7">
        <f>F61*Table1[[#This Row],[Order Quantity]]</f>
        <v>119.97</v>
      </c>
      <c r="K61" s="7" t="str">
        <f>TEXT(Table1[[#This Row],[Order Date]],"mmm")</f>
        <v>Jan</v>
      </c>
      <c r="L61" s="17">
        <f>YEAR(Table1[[#This Row],[Order Date]])</f>
        <v>2024</v>
      </c>
      <c r="M61" s="17" t="str">
        <f>TEXT(Table1[[#This Row],[Order Date]],"dddd")</f>
        <v>Saturday</v>
      </c>
    </row>
    <row r="62" spans="2:13" x14ac:dyDescent="0.25">
      <c r="B62" s="27">
        <v>1055</v>
      </c>
      <c r="C62" s="8">
        <v>45319</v>
      </c>
      <c r="D62" s="7" t="s">
        <v>58</v>
      </c>
      <c r="E62" s="8">
        <v>45320</v>
      </c>
      <c r="F62" s="7">
        <v>199.99</v>
      </c>
      <c r="G62" s="7">
        <v>1</v>
      </c>
      <c r="H62" s="7">
        <f t="shared" si="0"/>
        <v>19.999000000000002</v>
      </c>
      <c r="I62" s="12">
        <f t="shared" si="1"/>
        <v>219.989</v>
      </c>
      <c r="J62" s="7">
        <f>F62*Table1[[#This Row],[Order Quantity]]</f>
        <v>199.99</v>
      </c>
      <c r="K62" s="7" t="str">
        <f>TEXT(Table1[[#This Row],[Order Date]],"mmm")</f>
        <v>Jan</v>
      </c>
      <c r="L62" s="17">
        <f>YEAR(Table1[[#This Row],[Order Date]])</f>
        <v>2024</v>
      </c>
      <c r="M62" s="17" t="str">
        <f>TEXT(Table1[[#This Row],[Order Date]],"dddd")</f>
        <v>Sunday</v>
      </c>
    </row>
    <row r="63" spans="2:13" x14ac:dyDescent="0.25">
      <c r="B63" s="27">
        <v>1056</v>
      </c>
      <c r="C63" s="8">
        <v>45319</v>
      </c>
      <c r="D63" s="7" t="s">
        <v>59</v>
      </c>
      <c r="E63" s="8">
        <v>45320</v>
      </c>
      <c r="F63" s="7">
        <v>29.99</v>
      </c>
      <c r="G63" s="7">
        <v>5</v>
      </c>
      <c r="H63" s="7">
        <f t="shared" si="0"/>
        <v>14.994999999999999</v>
      </c>
      <c r="I63" s="12">
        <f t="shared" si="1"/>
        <v>164.94499999999999</v>
      </c>
      <c r="J63" s="7">
        <f>F63*Table1[[#This Row],[Order Quantity]]</f>
        <v>149.94999999999999</v>
      </c>
      <c r="K63" s="7" t="str">
        <f>TEXT(Table1[[#This Row],[Order Date]],"mmm")</f>
        <v>Jan</v>
      </c>
      <c r="L63" s="17">
        <f>YEAR(Table1[[#This Row],[Order Date]])</f>
        <v>2024</v>
      </c>
      <c r="M63" s="17" t="str">
        <f>TEXT(Table1[[#This Row],[Order Date]],"dddd")</f>
        <v>Sunday</v>
      </c>
    </row>
    <row r="64" spans="2:13" x14ac:dyDescent="0.25">
      <c r="B64" s="27">
        <v>1057</v>
      </c>
      <c r="C64" s="8">
        <v>45320</v>
      </c>
      <c r="D64" s="7" t="s">
        <v>60</v>
      </c>
      <c r="E64" s="8">
        <v>45321</v>
      </c>
      <c r="F64" s="7">
        <v>79.989999999999995</v>
      </c>
      <c r="G64" s="7">
        <v>2</v>
      </c>
      <c r="H64" s="7">
        <f t="shared" si="0"/>
        <v>15.997999999999999</v>
      </c>
      <c r="I64" s="12">
        <f t="shared" si="1"/>
        <v>175.97799999999998</v>
      </c>
      <c r="J64" s="7">
        <f>F64*Table1[[#This Row],[Order Quantity]]</f>
        <v>159.97999999999999</v>
      </c>
      <c r="K64" s="7" t="str">
        <f>TEXT(Table1[[#This Row],[Order Date]],"mmm")</f>
        <v>Jan</v>
      </c>
      <c r="L64" s="17">
        <f>YEAR(Table1[[#This Row],[Order Date]])</f>
        <v>2024</v>
      </c>
      <c r="M64" s="17" t="str">
        <f>TEXT(Table1[[#This Row],[Order Date]],"dddd")</f>
        <v>Monday</v>
      </c>
    </row>
    <row r="65" spans="2:13" x14ac:dyDescent="0.25">
      <c r="B65" s="27">
        <v>1058</v>
      </c>
      <c r="C65" s="8">
        <v>45320</v>
      </c>
      <c r="D65" s="7" t="s">
        <v>47</v>
      </c>
      <c r="E65" s="8">
        <v>45322</v>
      </c>
      <c r="F65" s="7">
        <v>49.99</v>
      </c>
      <c r="G65" s="7">
        <v>3</v>
      </c>
      <c r="H65" s="7">
        <f t="shared" si="0"/>
        <v>14.997</v>
      </c>
      <c r="I65" s="12">
        <f t="shared" si="1"/>
        <v>164.96699999999998</v>
      </c>
      <c r="J65" s="7">
        <f>F65*Table1[[#This Row],[Order Quantity]]</f>
        <v>149.97</v>
      </c>
      <c r="K65" s="7" t="str">
        <f>TEXT(Table1[[#This Row],[Order Date]],"mmm")</f>
        <v>Jan</v>
      </c>
      <c r="L65" s="17">
        <f>YEAR(Table1[[#This Row],[Order Date]])</f>
        <v>2024</v>
      </c>
      <c r="M65" s="17" t="str">
        <f>TEXT(Table1[[#This Row],[Order Date]],"dddd")</f>
        <v>Monday</v>
      </c>
    </row>
    <row r="66" spans="2:13" x14ac:dyDescent="0.25">
      <c r="B66" s="27">
        <v>1059</v>
      </c>
      <c r="C66" s="8">
        <v>45321</v>
      </c>
      <c r="D66" s="7" t="s">
        <v>48</v>
      </c>
      <c r="E66" s="8">
        <v>45322</v>
      </c>
      <c r="F66" s="7">
        <v>129.99</v>
      </c>
      <c r="G66" s="7">
        <v>1</v>
      </c>
      <c r="H66" s="7">
        <f t="shared" si="0"/>
        <v>12.999000000000002</v>
      </c>
      <c r="I66" s="12">
        <f t="shared" si="1"/>
        <v>142.989</v>
      </c>
      <c r="J66" s="7">
        <f>F66*Table1[[#This Row],[Order Quantity]]</f>
        <v>129.99</v>
      </c>
      <c r="K66" s="7" t="str">
        <f>TEXT(Table1[[#This Row],[Order Date]],"mmm")</f>
        <v>Jan</v>
      </c>
      <c r="L66" s="17">
        <f>YEAR(Table1[[#This Row],[Order Date]])</f>
        <v>2024</v>
      </c>
      <c r="M66" s="17" t="str">
        <f>TEXT(Table1[[#This Row],[Order Date]],"dddd")</f>
        <v>Tuesday</v>
      </c>
    </row>
    <row r="67" spans="2:13" x14ac:dyDescent="0.25">
      <c r="B67" s="27">
        <v>1060</v>
      </c>
      <c r="C67" s="8">
        <v>45321</v>
      </c>
      <c r="D67" s="7" t="s">
        <v>13</v>
      </c>
      <c r="E67" s="8">
        <v>45323</v>
      </c>
      <c r="F67" s="7">
        <v>19.989999999999998</v>
      </c>
      <c r="G67" s="7">
        <v>4</v>
      </c>
      <c r="H67" s="7">
        <f t="shared" si="0"/>
        <v>7.9959999999999996</v>
      </c>
      <c r="I67" s="12">
        <f t="shared" si="1"/>
        <v>87.955999999999989</v>
      </c>
      <c r="J67" s="7">
        <f>F67*Table1[[#This Row],[Order Quantity]]</f>
        <v>79.959999999999994</v>
      </c>
      <c r="K67" s="7" t="str">
        <f>TEXT(Table1[[#This Row],[Order Date]],"mmm")</f>
        <v>Jan</v>
      </c>
      <c r="L67" s="17">
        <f>YEAR(Table1[[#This Row],[Order Date]])</f>
        <v>2024</v>
      </c>
      <c r="M67" s="17" t="str">
        <f>TEXT(Table1[[#This Row],[Order Date]],"dddd")</f>
        <v>Tuesday</v>
      </c>
    </row>
    <row r="68" spans="2:13" x14ac:dyDescent="0.25">
      <c r="B68" s="27">
        <v>1061</v>
      </c>
      <c r="C68" s="8">
        <v>45322</v>
      </c>
      <c r="D68" s="7" t="s">
        <v>49</v>
      </c>
      <c r="E68" s="8">
        <v>45324</v>
      </c>
      <c r="F68" s="7">
        <v>149.99</v>
      </c>
      <c r="G68" s="7">
        <v>1</v>
      </c>
      <c r="H68" s="7">
        <f t="shared" si="0"/>
        <v>14.999000000000002</v>
      </c>
      <c r="I68" s="12">
        <f t="shared" si="1"/>
        <v>164.989</v>
      </c>
      <c r="J68" s="7">
        <f>F68*Table1[[#This Row],[Order Quantity]]</f>
        <v>149.99</v>
      </c>
      <c r="K68" s="7" t="str">
        <f>TEXT(Table1[[#This Row],[Order Date]],"mmm")</f>
        <v>Jan</v>
      </c>
      <c r="L68" s="17">
        <f>YEAR(Table1[[#This Row],[Order Date]])</f>
        <v>2024</v>
      </c>
      <c r="M68" s="17" t="str">
        <f>TEXT(Table1[[#This Row],[Order Date]],"dddd")</f>
        <v>Wednesday</v>
      </c>
    </row>
    <row r="69" spans="2:13" x14ac:dyDescent="0.25">
      <c r="B69" s="27">
        <v>1062</v>
      </c>
      <c r="C69" s="8">
        <v>45322</v>
      </c>
      <c r="D69" s="7" t="s">
        <v>29</v>
      </c>
      <c r="E69" s="8">
        <v>45326</v>
      </c>
      <c r="F69" s="7">
        <v>69.989999999999995</v>
      </c>
      <c r="G69" s="7">
        <v>2</v>
      </c>
      <c r="H69" s="7">
        <f t="shared" si="0"/>
        <v>13.997999999999999</v>
      </c>
      <c r="I69" s="12">
        <f t="shared" si="1"/>
        <v>153.97799999999998</v>
      </c>
      <c r="J69" s="7">
        <f>F69*Table1[[#This Row],[Order Quantity]]</f>
        <v>139.97999999999999</v>
      </c>
      <c r="K69" s="7" t="str">
        <f>TEXT(Table1[[#This Row],[Order Date]],"mmm")</f>
        <v>Jan</v>
      </c>
      <c r="L69" s="17">
        <f>YEAR(Table1[[#This Row],[Order Date]])</f>
        <v>2024</v>
      </c>
      <c r="M69" s="17" t="str">
        <f>TEXT(Table1[[#This Row],[Order Date]],"dddd")</f>
        <v>Wednesday</v>
      </c>
    </row>
    <row r="70" spans="2:13" x14ac:dyDescent="0.25">
      <c r="B70" s="27">
        <v>1063</v>
      </c>
      <c r="C70" s="8">
        <v>45323</v>
      </c>
      <c r="D70" s="7" t="s">
        <v>50</v>
      </c>
      <c r="E70" s="8">
        <v>45324</v>
      </c>
      <c r="F70" s="7">
        <v>39.99</v>
      </c>
      <c r="G70" s="7">
        <v>3</v>
      </c>
      <c r="H70" s="7">
        <f t="shared" si="0"/>
        <v>11.997</v>
      </c>
      <c r="I70" s="12">
        <f t="shared" si="1"/>
        <v>131.96699999999998</v>
      </c>
      <c r="J70" s="7">
        <f>F70*Table1[[#This Row],[Order Quantity]]</f>
        <v>119.97</v>
      </c>
      <c r="K70" s="7" t="str">
        <f>TEXT(Table1[[#This Row],[Order Date]],"mmm")</f>
        <v>Feb</v>
      </c>
      <c r="L70" s="17">
        <f>YEAR(Table1[[#This Row],[Order Date]])</f>
        <v>2024</v>
      </c>
      <c r="M70" s="17" t="str">
        <f>TEXT(Table1[[#This Row],[Order Date]],"dddd")</f>
        <v>Thursday</v>
      </c>
    </row>
    <row r="71" spans="2:13" x14ac:dyDescent="0.25">
      <c r="B71" s="27">
        <v>1064</v>
      </c>
      <c r="C71" s="8">
        <v>45323</v>
      </c>
      <c r="D71" s="7" t="s">
        <v>51</v>
      </c>
      <c r="E71" s="8">
        <v>45327</v>
      </c>
      <c r="F71" s="7">
        <v>199.99</v>
      </c>
      <c r="G71" s="7">
        <v>1</v>
      </c>
      <c r="H71" s="7">
        <f t="shared" si="0"/>
        <v>19.999000000000002</v>
      </c>
      <c r="I71" s="12">
        <f t="shared" si="1"/>
        <v>219.989</v>
      </c>
      <c r="J71" s="7">
        <f>F71*Table1[[#This Row],[Order Quantity]]</f>
        <v>199.99</v>
      </c>
      <c r="K71" s="7" t="str">
        <f>TEXT(Table1[[#This Row],[Order Date]],"mmm")</f>
        <v>Feb</v>
      </c>
      <c r="L71" s="17">
        <f>YEAR(Table1[[#This Row],[Order Date]])</f>
        <v>2024</v>
      </c>
      <c r="M71" s="17" t="str">
        <f>TEXT(Table1[[#This Row],[Order Date]],"dddd")</f>
        <v>Thursday</v>
      </c>
    </row>
    <row r="72" spans="2:13" x14ac:dyDescent="0.25">
      <c r="B72" s="27">
        <v>1065</v>
      </c>
      <c r="C72" s="8">
        <v>45323</v>
      </c>
      <c r="D72" s="7" t="s">
        <v>52</v>
      </c>
      <c r="E72" s="8">
        <v>45325</v>
      </c>
      <c r="F72" s="7">
        <v>29.99</v>
      </c>
      <c r="G72" s="7">
        <v>5</v>
      </c>
      <c r="H72" s="7">
        <f t="shared" si="0"/>
        <v>14.994999999999999</v>
      </c>
      <c r="I72" s="12">
        <f t="shared" si="1"/>
        <v>164.94499999999999</v>
      </c>
      <c r="J72" s="7">
        <f>F72*Table1[[#This Row],[Order Quantity]]</f>
        <v>149.94999999999999</v>
      </c>
      <c r="K72" s="7" t="str">
        <f>TEXT(Table1[[#This Row],[Order Date]],"mmm")</f>
        <v>Feb</v>
      </c>
      <c r="L72" s="17">
        <f>YEAR(Table1[[#This Row],[Order Date]])</f>
        <v>2024</v>
      </c>
      <c r="M72" s="17" t="str">
        <f>TEXT(Table1[[#This Row],[Order Date]],"dddd")</f>
        <v>Thursday</v>
      </c>
    </row>
    <row r="73" spans="2:13" x14ac:dyDescent="0.25">
      <c r="B73" s="27">
        <v>1066</v>
      </c>
      <c r="C73" s="8">
        <v>45324</v>
      </c>
      <c r="D73" s="7" t="s">
        <v>53</v>
      </c>
      <c r="E73" s="8">
        <v>45328</v>
      </c>
      <c r="F73" s="7">
        <v>79.989999999999995</v>
      </c>
      <c r="G73" s="7">
        <v>2</v>
      </c>
      <c r="H73" s="7">
        <f t="shared" ref="H73:H77" si="2">F73*G73*$I$5</f>
        <v>15.997999999999999</v>
      </c>
      <c r="I73" s="12">
        <f t="shared" ref="I73:I77" si="3">F73*G73+H73</f>
        <v>175.97799999999998</v>
      </c>
      <c r="J73" s="7">
        <f>F73*Table1[[#This Row],[Order Quantity]]</f>
        <v>159.97999999999999</v>
      </c>
      <c r="K73" s="7" t="str">
        <f>TEXT(Table1[[#This Row],[Order Date]],"mmm")</f>
        <v>Feb</v>
      </c>
      <c r="L73" s="17">
        <f>YEAR(Table1[[#This Row],[Order Date]])</f>
        <v>2024</v>
      </c>
      <c r="M73" s="17" t="str">
        <f>TEXT(Table1[[#This Row],[Order Date]],"dddd")</f>
        <v>Friday</v>
      </c>
    </row>
    <row r="74" spans="2:13" x14ac:dyDescent="0.25">
      <c r="B74" s="27">
        <v>1067</v>
      </c>
      <c r="C74" s="8">
        <v>45325</v>
      </c>
      <c r="D74" s="7" t="s">
        <v>54</v>
      </c>
      <c r="E74" s="8">
        <v>45328</v>
      </c>
      <c r="F74" s="7">
        <v>49.99</v>
      </c>
      <c r="G74" s="7">
        <v>3</v>
      </c>
      <c r="H74" s="7">
        <f t="shared" si="2"/>
        <v>14.997</v>
      </c>
      <c r="I74" s="12">
        <f t="shared" si="3"/>
        <v>164.96699999999998</v>
      </c>
      <c r="J74" s="7">
        <f>F74*Table1[[#This Row],[Order Quantity]]</f>
        <v>149.97</v>
      </c>
      <c r="K74" s="7" t="str">
        <f>TEXT(Table1[[#This Row],[Order Date]],"mmm")</f>
        <v>Feb</v>
      </c>
      <c r="L74" s="17">
        <f>YEAR(Table1[[#This Row],[Order Date]])</f>
        <v>2024</v>
      </c>
      <c r="M74" s="17" t="str">
        <f>TEXT(Table1[[#This Row],[Order Date]],"dddd")</f>
        <v>Saturday</v>
      </c>
    </row>
    <row r="75" spans="2:13" x14ac:dyDescent="0.25">
      <c r="B75" s="27">
        <v>1068</v>
      </c>
      <c r="C75" s="8">
        <v>45326</v>
      </c>
      <c r="D75" s="7" t="s">
        <v>55</v>
      </c>
      <c r="E75" s="8">
        <v>45327</v>
      </c>
      <c r="F75" s="7">
        <v>129.99</v>
      </c>
      <c r="G75" s="7">
        <v>1</v>
      </c>
      <c r="H75" s="7">
        <f t="shared" si="2"/>
        <v>12.999000000000002</v>
      </c>
      <c r="I75" s="12">
        <f t="shared" si="3"/>
        <v>142.989</v>
      </c>
      <c r="J75" s="7">
        <f>F75*Table1[[#This Row],[Order Quantity]]</f>
        <v>129.99</v>
      </c>
      <c r="K75" s="7" t="str">
        <f>TEXT(Table1[[#This Row],[Order Date]],"mmm")</f>
        <v>Feb</v>
      </c>
      <c r="L75" s="17">
        <f>YEAR(Table1[[#This Row],[Order Date]])</f>
        <v>2024</v>
      </c>
      <c r="M75" s="17" t="str">
        <f>TEXT(Table1[[#This Row],[Order Date]],"dddd")</f>
        <v>Sunday</v>
      </c>
    </row>
    <row r="76" spans="2:13" x14ac:dyDescent="0.25">
      <c r="B76" s="27">
        <v>1069</v>
      </c>
      <c r="C76" s="8">
        <v>45326</v>
      </c>
      <c r="D76" s="7" t="s">
        <v>56</v>
      </c>
      <c r="E76" s="8">
        <v>45330</v>
      </c>
      <c r="F76" s="7">
        <v>19.989999999999998</v>
      </c>
      <c r="G76" s="7">
        <v>4</v>
      </c>
      <c r="H76" s="7">
        <f t="shared" si="2"/>
        <v>7.9959999999999996</v>
      </c>
      <c r="I76" s="12">
        <f t="shared" si="3"/>
        <v>87.955999999999989</v>
      </c>
      <c r="J76" s="7">
        <f>F76*Table1[[#This Row],[Order Quantity]]</f>
        <v>79.959999999999994</v>
      </c>
      <c r="K76" s="7" t="str">
        <f>TEXT(Table1[[#This Row],[Order Date]],"mmm")</f>
        <v>Feb</v>
      </c>
      <c r="L76" s="17">
        <f>YEAR(Table1[[#This Row],[Order Date]])</f>
        <v>2024</v>
      </c>
      <c r="M76" s="17" t="str">
        <f>TEXT(Table1[[#This Row],[Order Date]],"dddd")</f>
        <v>Sunday</v>
      </c>
    </row>
    <row r="77" spans="2:13" x14ac:dyDescent="0.25">
      <c r="B77" s="28">
        <v>1070</v>
      </c>
      <c r="C77" s="13">
        <v>45326</v>
      </c>
      <c r="D77" s="14" t="s">
        <v>57</v>
      </c>
      <c r="E77" s="13">
        <v>45329</v>
      </c>
      <c r="F77" s="14">
        <v>149.99</v>
      </c>
      <c r="G77" s="14">
        <v>1</v>
      </c>
      <c r="H77" s="14">
        <f t="shared" si="2"/>
        <v>14.999000000000002</v>
      </c>
      <c r="I77" s="15">
        <f t="shared" si="3"/>
        <v>164.989</v>
      </c>
      <c r="J77" s="14">
        <f>F77*Table1[[#This Row],[Order Quantity]]</f>
        <v>149.99</v>
      </c>
      <c r="K77" s="14" t="str">
        <f>TEXT(Table1[[#This Row],[Order Date]],"mmm")</f>
        <v>Feb</v>
      </c>
      <c r="L77" s="17">
        <f>YEAR(Table1[[#This Row],[Order Date]])</f>
        <v>2024</v>
      </c>
      <c r="M77" s="17" t="str">
        <f>TEXT(Table1[[#This Row],[Order Date]],"dddd")</f>
        <v>Sunday</v>
      </c>
    </row>
    <row r="78" spans="2:13" x14ac:dyDescent="0.25">
      <c r="C78" s="9"/>
    </row>
    <row r="79" spans="2:13" x14ac:dyDescent="0.25">
      <c r="C79" s="9"/>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DASHBOARD</vt:lpstr>
      <vt:lpstr>SuperMarket 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Seemanto Saha</dc:creator>
  <cp:lastModifiedBy>shravani dhaybar</cp:lastModifiedBy>
  <dcterms:created xsi:type="dcterms:W3CDTF">2024-02-19T11:17:54Z</dcterms:created>
  <dcterms:modified xsi:type="dcterms:W3CDTF">2026-07-16T13:26:28Z</dcterms:modified>
</cp:coreProperties>
</file>